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545" yWindow="510" windowWidth="12390" windowHeight="9165"/>
  </bookViews>
  <sheets>
    <sheet name="目录" sheetId="2" r:id="rId1"/>
    <sheet name="雀巢咖啡" sheetId="1" r:id="rId2"/>
    <sheet name="青岛啤酒" sheetId="5" r:id="rId3"/>
    <sheet name="货源一览" sheetId="7" r:id="rId4"/>
  </sheets>
  <definedNames>
    <definedName name="_xlnm.Print_Area" localSheetId="3">货源一览!$B$1:$J$46</definedName>
    <definedName name="_xlnm.Print_Area" localSheetId="0">目录!$A$1:$F$46</definedName>
    <definedName name="_xlnm.Print_Area" localSheetId="2">青岛啤酒!$A$1:$H$54</definedName>
    <definedName name="_xlnm.Print_Area" localSheetId="1">雀巢咖啡!$A$1:$H$54</definedName>
    <definedName name="商品コード" localSheetId="3">货源一览!$B$2:$B$46</definedName>
    <definedName name="商品コード">目录!$B$2:$B$46</definedName>
    <definedName name="商品一覧" localSheetId="3">货源一览!$B$1:$J$46</definedName>
    <definedName name="商品一覧">目录!$B$1:$F$46</definedName>
  </definedNames>
  <calcPr calcId="145621"/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4" i="5"/>
  <c r="G5" i="5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4" i="1"/>
  <c r="C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G5" i="1"/>
  <c r="G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</calcChain>
</file>

<file path=xl/sharedStrings.xml><?xml version="1.0" encoding="utf-8"?>
<sst xmlns="http://schemas.openxmlformats.org/spreadsheetml/2006/main" count="67" uniqueCount="43">
  <si>
    <t>000-02</t>
    <phoneticPr fontId="2"/>
  </si>
  <si>
    <t>④</t>
    <phoneticPr fontId="2"/>
  </si>
  <si>
    <t>⑤</t>
    <phoneticPr fontId="2"/>
  </si>
  <si>
    <t>⑥</t>
    <phoneticPr fontId="2"/>
  </si>
  <si>
    <t>标准库存数</t>
    <phoneticPr fontId="2"/>
  </si>
  <si>
    <t>单价</t>
    <phoneticPr fontId="2"/>
  </si>
  <si>
    <t>成本</t>
    <phoneticPr fontId="2"/>
  </si>
  <si>
    <t>000-01</t>
    <phoneticPr fontId="2"/>
  </si>
  <si>
    <t xml:space="preserve">① </t>
    <phoneticPr fontId="2"/>
  </si>
  <si>
    <t xml:space="preserve">② </t>
    <phoneticPr fontId="2"/>
  </si>
  <si>
    <t>③</t>
    <phoneticPr fontId="2"/>
  </si>
  <si>
    <t>单据号码</t>
    <phoneticPr fontId="2"/>
  </si>
  <si>
    <t>订货日期</t>
    <phoneticPr fontId="2"/>
  </si>
  <si>
    <t>货源名称</t>
    <phoneticPr fontId="2"/>
  </si>
  <si>
    <t>数量</t>
    <phoneticPr fontId="2"/>
  </si>
  <si>
    <t>购入金额</t>
    <phoneticPr fontId="2"/>
  </si>
  <si>
    <t>标准库存数</t>
    <phoneticPr fontId="2"/>
  </si>
  <si>
    <t>货源代码</t>
    <phoneticPr fontId="2"/>
  </si>
  <si>
    <t>负责人</t>
    <phoneticPr fontId="2"/>
  </si>
  <si>
    <t>电话号码</t>
    <phoneticPr fontId="2"/>
  </si>
  <si>
    <t>在“或在这篇文档中选择位置”清单中，单击链接跳转目的地。</t>
    <phoneticPr fontId="2"/>
  </si>
  <si>
    <t>单击“确定”，关闭对话框。</t>
    <phoneticPr fontId="2"/>
  </si>
  <si>
    <t>雀巢咖啡</t>
    <phoneticPr fontId="2"/>
  </si>
  <si>
    <t>青岛啤酒</t>
    <phoneticPr fontId="2"/>
  </si>
  <si>
    <t>雀巢咖啡</t>
    <phoneticPr fontId="2"/>
  </si>
  <si>
    <t>青岛啤酒</t>
    <phoneticPr fontId="2"/>
  </si>
  <si>
    <t>宇达公司</t>
  </si>
  <si>
    <t>建林</t>
    <phoneticPr fontId="2"/>
  </si>
  <si>
    <t>海峰</t>
    <phoneticPr fontId="2"/>
  </si>
  <si>
    <t>010-xxxx-xxxx</t>
    <phoneticPr fontId="2"/>
  </si>
  <si>
    <t>华立集团</t>
  </si>
  <si>
    <t>此时屏幕上将显示“插入超级链接”对话框。</t>
    <phoneticPr fontId="2"/>
  </si>
  <si>
    <t>请在没有背景色的单元格中输入值</t>
    <phoneticPr fontId="2"/>
  </si>
  <si>
    <t>商品代码</t>
  </si>
  <si>
    <t>商品名称</t>
  </si>
  <si>
    <t>↓单击“转至!”，可以转到相应的工作表。</t>
    <phoneticPr fontId="2"/>
  </si>
  <si>
    <t>添加“转至!”</t>
    <phoneticPr fontId="2"/>
  </si>
  <si>
    <t>单击需要添加“转至！”的单元格。</t>
    <phoneticPr fontId="2"/>
  </si>
  <si>
    <r>
      <t>在“要显示的文字”中，输入“转至</t>
    </r>
    <r>
      <rPr>
        <sz val="10"/>
        <rFont val="Times New Roman"/>
        <family val="1"/>
      </rPr>
      <t>!"</t>
    </r>
    <r>
      <rPr>
        <sz val="10"/>
        <rFont val="宋体"/>
        <family val="3"/>
        <charset val="134"/>
      </rPr>
      <t>。</t>
    </r>
    <phoneticPr fontId="2"/>
  </si>
  <si>
    <r>
      <t>转至</t>
    </r>
    <r>
      <rPr>
        <u/>
        <sz val="11"/>
        <color indexed="12"/>
        <rFont val="ＭＳ Ｐゴシック"/>
        <family val="2"/>
      </rPr>
      <t>!</t>
    </r>
    <phoneticPr fontId="2"/>
  </si>
  <si>
    <r>
      <t xml:space="preserve"> </t>
    </r>
    <r>
      <rPr>
        <sz val="10"/>
        <rFont val="宋体"/>
        <family val="3"/>
        <charset val="134"/>
      </rPr>
      <t>单击“超级链接”。</t>
    </r>
    <phoneticPr fontId="2"/>
  </si>
  <si>
    <r>
      <t xml:space="preserve"> </t>
    </r>
    <r>
      <rPr>
        <sz val="10"/>
        <rFont val="宋体"/>
        <family val="3"/>
        <charset val="134"/>
      </rPr>
      <t>在“链接到”中选择“本文档中的位置”。</t>
    </r>
    <phoneticPr fontId="2"/>
  </si>
  <si>
    <t>返回目录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</si>
</sst>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6" formatCode="00000"/>
    <numFmt numFmtId="187" formatCode="m/d"/>
  </numFmts>
  <fonts count="14">
    <font>
      <sz val="11"/>
      <name val="ＭＳ Ｐゴシック"/>
      <family val="2"/>
    </font>
    <font>
      <sz val="11"/>
      <name val="ＭＳ Ｐゴシック"/>
      <family val="2"/>
    </font>
    <font>
      <sz val="6"/>
      <name val="ＭＳ Ｐゴシック"/>
      <family val="2"/>
    </font>
    <font>
      <sz val="10"/>
      <name val="ＭＳ Ｐゴシック"/>
      <family val="2"/>
    </font>
    <font>
      <u/>
      <sz val="11"/>
      <color indexed="12"/>
      <name val="ＭＳ Ｐゴシック"/>
      <family val="2"/>
    </font>
    <font>
      <sz val="8"/>
      <color indexed="1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10"/>
      <name val="宋体"/>
      <family val="3"/>
      <charset val="134"/>
    </font>
    <font>
      <sz val="11"/>
      <name val="宋体"/>
      <family val="3"/>
      <charset val="134"/>
    </font>
    <font>
      <b/>
      <sz val="8"/>
      <color indexed="1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20"/>
      <name val="宋体"/>
      <family val="3"/>
      <charset val="134"/>
    </font>
    <font>
      <sz val="10"/>
      <name val="Times New Roman"/>
      <family val="1"/>
    </font>
    <font>
      <sz val="8"/>
      <color indexed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38" fontId="3" fillId="2" borderId="1" xfId="2" applyFont="1" applyFill="1" applyBorder="1"/>
    <xf numFmtId="0" fontId="8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6" fillId="0" borderId="6" xfId="0" applyFont="1" applyFill="1" applyBorder="1"/>
    <xf numFmtId="38" fontId="6" fillId="0" borderId="7" xfId="2" applyFont="1" applyFill="1" applyBorder="1"/>
    <xf numFmtId="38" fontId="6" fillId="0" borderId="8" xfId="2" applyFont="1" applyFill="1" applyBorder="1"/>
    <xf numFmtId="0" fontId="6" fillId="0" borderId="9" xfId="0" applyFont="1" applyFill="1" applyBorder="1"/>
    <xf numFmtId="0" fontId="6" fillId="0" borderId="1" xfId="0" applyFont="1" applyFill="1" applyBorder="1"/>
    <xf numFmtId="38" fontId="6" fillId="0" borderId="1" xfId="2" applyFont="1" applyFill="1" applyBorder="1"/>
    <xf numFmtId="38" fontId="6" fillId="0" borderId="10" xfId="2" applyFont="1" applyFill="1" applyBorder="1"/>
    <xf numFmtId="0" fontId="11" fillId="0" borderId="11" xfId="0" applyFont="1" applyBorder="1" applyAlignment="1">
      <alignment horizontal="left"/>
    </xf>
    <xf numFmtId="0" fontId="11" fillId="0" borderId="11" xfId="0" applyFont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6" fillId="3" borderId="1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/>
    </xf>
    <xf numFmtId="186" fontId="6" fillId="0" borderId="6" xfId="0" applyNumberFormat="1" applyFont="1" applyFill="1" applyBorder="1" applyAlignment="1">
      <alignment horizontal="center"/>
    </xf>
    <xf numFmtId="187" fontId="6" fillId="0" borderId="7" xfId="0" applyNumberFormat="1" applyFont="1" applyFill="1" applyBorder="1" applyAlignment="1">
      <alignment horizontal="center"/>
    </xf>
    <xf numFmtId="186" fontId="6" fillId="0" borderId="7" xfId="2" applyNumberFormat="1" applyFont="1" applyFill="1" applyBorder="1" applyAlignment="1">
      <alignment horizontal="center"/>
    </xf>
    <xf numFmtId="38" fontId="6" fillId="2" borderId="7" xfId="2" applyFont="1" applyFill="1" applyBorder="1"/>
    <xf numFmtId="0" fontId="6" fillId="0" borderId="7" xfId="0" applyFont="1" applyBorder="1"/>
    <xf numFmtId="38" fontId="6" fillId="2" borderId="7" xfId="0" applyNumberFormat="1" applyFont="1" applyFill="1" applyBorder="1"/>
    <xf numFmtId="186" fontId="6" fillId="0" borderId="9" xfId="0" applyNumberFormat="1" applyFont="1" applyFill="1" applyBorder="1" applyAlignment="1">
      <alignment horizontal="center"/>
    </xf>
    <xf numFmtId="187" fontId="6" fillId="0" borderId="1" xfId="0" applyNumberFormat="1" applyFont="1" applyFill="1" applyBorder="1" applyAlignment="1">
      <alignment horizontal="center"/>
    </xf>
    <xf numFmtId="186" fontId="6" fillId="0" borderId="1" xfId="2" applyNumberFormat="1" applyFont="1" applyFill="1" applyBorder="1" applyAlignment="1">
      <alignment horizontal="center"/>
    </xf>
    <xf numFmtId="38" fontId="6" fillId="2" borderId="1" xfId="2" applyFont="1" applyFill="1" applyBorder="1"/>
    <xf numFmtId="0" fontId="6" fillId="0" borderId="1" xfId="0" applyFont="1" applyBorder="1"/>
    <xf numFmtId="38" fontId="6" fillId="2" borderId="1" xfId="0" applyNumberFormat="1" applyFont="1" applyFill="1" applyBorder="1"/>
    <xf numFmtId="0" fontId="8" fillId="0" borderId="0" xfId="0" applyFont="1" applyFill="1"/>
    <xf numFmtId="186" fontId="6" fillId="0" borderId="7" xfId="0" applyNumberFormat="1" applyFont="1" applyFill="1" applyBorder="1" applyAlignment="1">
      <alignment horizontal="center"/>
    </xf>
    <xf numFmtId="186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4" xfId="0" applyFont="1" applyFill="1" applyBorder="1"/>
    <xf numFmtId="0" fontId="6" fillId="0" borderId="15" xfId="0" applyFont="1" applyFill="1" applyBorder="1"/>
    <xf numFmtId="38" fontId="6" fillId="0" borderId="15" xfId="2" applyFont="1" applyFill="1" applyBorder="1"/>
    <xf numFmtId="186" fontId="6" fillId="0" borderId="15" xfId="0" applyNumberFormat="1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7" fillId="0" borderId="0" xfId="0" applyFont="1" applyFill="1" applyAlignment="1">
      <alignment horizontal="left"/>
    </xf>
    <xf numFmtId="0" fontId="0" fillId="0" borderId="0" xfId="0" applyFill="1"/>
    <xf numFmtId="0" fontId="10" fillId="0" borderId="0" xfId="1" applyFont="1" applyFill="1" applyAlignment="1" applyProtection="1"/>
    <xf numFmtId="0" fontId="6" fillId="0" borderId="0" xfId="0" applyFont="1" applyFill="1" applyAlignment="1">
      <alignment horizontal="left"/>
    </xf>
    <xf numFmtId="0" fontId="6" fillId="0" borderId="0" xfId="0" applyFont="1" applyFill="1"/>
    <xf numFmtId="0" fontId="5" fillId="0" borderId="0" xfId="0" applyFont="1" applyAlignment="1">
      <alignment vertical="center" wrapText="1"/>
    </xf>
    <xf numFmtId="0" fontId="6" fillId="0" borderId="7" xfId="0" applyFont="1" applyFill="1" applyBorder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left"/>
    </xf>
    <xf numFmtId="0" fontId="5" fillId="0" borderId="0" xfId="0" applyFont="1" applyBorder="1" applyAlignment="1"/>
    <xf numFmtId="187" fontId="11" fillId="0" borderId="11" xfId="0" applyNumberFormat="1" applyFont="1" applyBorder="1" applyAlignment="1">
      <alignment horizontal="left"/>
    </xf>
    <xf numFmtId="187" fontId="8" fillId="0" borderId="0" xfId="0" applyNumberFormat="1" applyFont="1"/>
    <xf numFmtId="187" fontId="0" fillId="0" borderId="0" xfId="0" applyNumberFormat="1"/>
    <xf numFmtId="0" fontId="12" fillId="0" borderId="0" xfId="0" applyFont="1" applyFill="1"/>
    <xf numFmtId="0" fontId="12" fillId="0" borderId="0" xfId="0" applyFont="1" applyFill="1" applyAlignment="1">
      <alignment horizontal="left"/>
    </xf>
    <xf numFmtId="0" fontId="13" fillId="0" borderId="11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86" fontId="6" fillId="0" borderId="14" xfId="0" applyNumberFormat="1" applyFont="1" applyFill="1" applyBorder="1" applyAlignment="1">
      <alignment horizontal="center"/>
    </xf>
    <xf numFmtId="38" fontId="6" fillId="2" borderId="15" xfId="2" applyFont="1" applyFill="1" applyBorder="1"/>
    <xf numFmtId="187" fontId="6" fillId="0" borderId="15" xfId="0" applyNumberFormat="1" applyFont="1" applyFill="1" applyBorder="1" applyAlignment="1">
      <alignment horizontal="center"/>
    </xf>
    <xf numFmtId="186" fontId="6" fillId="0" borderId="15" xfId="2" applyNumberFormat="1" applyFont="1" applyFill="1" applyBorder="1" applyAlignment="1">
      <alignment horizontal="center"/>
    </xf>
    <xf numFmtId="0" fontId="6" fillId="0" borderId="15" xfId="0" applyFont="1" applyBorder="1"/>
    <xf numFmtId="38" fontId="6" fillId="2" borderId="15" xfId="0" applyNumberFormat="1" applyFont="1" applyFill="1" applyBorder="1"/>
    <xf numFmtId="38" fontId="10" fillId="0" borderId="1" xfId="1" applyNumberFormat="1" applyFont="1" applyFill="1" applyBorder="1" applyAlignment="1" applyProtection="1"/>
    <xf numFmtId="38" fontId="6" fillId="0" borderId="16" xfId="2" applyFont="1" applyFill="1" applyBorder="1"/>
    <xf numFmtId="0" fontId="6" fillId="3" borderId="12" xfId="0" applyFont="1" applyFill="1" applyBorder="1" applyAlignment="1">
      <alignment horizontal="center" vertical="center" wrapText="1"/>
    </xf>
    <xf numFmtId="186" fontId="6" fillId="0" borderId="17" xfId="0" applyNumberFormat="1" applyFont="1" applyFill="1" applyBorder="1" applyAlignment="1">
      <alignment horizontal="center"/>
    </xf>
    <xf numFmtId="186" fontId="6" fillId="0" borderId="18" xfId="0" applyNumberFormat="1" applyFont="1" applyFill="1" applyBorder="1" applyAlignment="1">
      <alignment horizontal="center"/>
    </xf>
    <xf numFmtId="186" fontId="6" fillId="0" borderId="19" xfId="0" applyNumberFormat="1" applyFont="1" applyFill="1" applyBorder="1" applyAlignment="1">
      <alignment horizontal="center"/>
    </xf>
    <xf numFmtId="187" fontId="6" fillId="3" borderId="3" xfId="0" applyNumberFormat="1" applyFont="1" applyFill="1" applyBorder="1" applyAlignment="1">
      <alignment horizontal="center" vertical="center"/>
    </xf>
    <xf numFmtId="38" fontId="6" fillId="0" borderId="17" xfId="0" applyNumberFormat="1" applyFont="1" applyFill="1" applyBorder="1" applyAlignment="1"/>
    <xf numFmtId="38" fontId="6" fillId="0" borderId="18" xfId="0" applyNumberFormat="1" applyFont="1" applyFill="1" applyBorder="1" applyAlignment="1"/>
    <xf numFmtId="0" fontId="6" fillId="0" borderId="17" xfId="0" applyNumberFormat="1" applyFont="1" applyFill="1" applyBorder="1" applyAlignment="1"/>
    <xf numFmtId="0" fontId="6" fillId="0" borderId="18" xfId="0" applyNumberFormat="1" applyFont="1" applyFill="1" applyBorder="1" applyAlignment="1"/>
    <xf numFmtId="0" fontId="6" fillId="0" borderId="7" xfId="0" applyNumberFormat="1" applyFont="1" applyFill="1" applyBorder="1" applyAlignment="1"/>
    <xf numFmtId="0" fontId="6" fillId="0" borderId="1" xfId="0" applyNumberFormat="1" applyFont="1" applyFill="1" applyBorder="1" applyAlignment="1"/>
  </cellXfs>
  <cellStyles count="3">
    <cellStyle name="常规" xfId="0" builtinId="0"/>
    <cellStyle name="超链接" xfId="1" builtinId="8"/>
    <cellStyle name="千位分隔[0]" xfId="2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133350</xdr:rowOff>
    </xdr:from>
    <xdr:to>
      <xdr:col>14</xdr:col>
      <xdr:colOff>609600</xdr:colOff>
      <xdr:row>10</xdr:row>
      <xdr:rowOff>133350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552950" y="314325"/>
          <a:ext cx="4248150" cy="1571625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6"/>
  <sheetViews>
    <sheetView showGridLines="0" tabSelected="1" workbookViewId="0"/>
  </sheetViews>
  <sheetFormatPr defaultRowHeight="13.5"/>
  <cols>
    <col min="1" max="1" width="1.75" customWidth="1"/>
    <col min="2" max="2" width="8.625" bestFit="1" customWidth="1"/>
    <col min="3" max="3" width="21.75" customWidth="1"/>
    <col min="4" max="4" width="9.625" bestFit="1" customWidth="1"/>
    <col min="5" max="6" width="5.375" bestFit="1" customWidth="1"/>
    <col min="7" max="7" width="6.375" customWidth="1"/>
    <col min="8" max="8" width="0.875" customWidth="1"/>
    <col min="9" max="9" width="2.75" customWidth="1"/>
    <col min="17" max="17" width="27" bestFit="1" customWidth="1"/>
  </cols>
  <sheetData>
    <row r="1" spans="1:16" ht="14.25" thickBot="1">
      <c r="A1" s="3"/>
      <c r="B1" s="4" t="s">
        <v>33</v>
      </c>
      <c r="C1" s="5" t="s">
        <v>34</v>
      </c>
      <c r="D1" s="6" t="s">
        <v>4</v>
      </c>
      <c r="E1" s="6" t="s">
        <v>5</v>
      </c>
      <c r="F1" s="7" t="s">
        <v>6</v>
      </c>
      <c r="G1" s="8" t="s">
        <v>35</v>
      </c>
      <c r="H1" s="3"/>
      <c r="I1" s="3"/>
      <c r="J1" s="3"/>
    </row>
    <row r="2" spans="1:16">
      <c r="A2" s="3"/>
      <c r="B2" s="9" t="s">
        <v>7</v>
      </c>
      <c r="C2" s="51" t="s">
        <v>24</v>
      </c>
      <c r="D2" s="10">
        <v>500</v>
      </c>
      <c r="E2" s="10">
        <v>250</v>
      </c>
      <c r="F2" s="11">
        <v>125</v>
      </c>
      <c r="G2" s="47" t="s">
        <v>39</v>
      </c>
      <c r="H2" s="34"/>
      <c r="I2" s="34"/>
      <c r="J2" s="34"/>
      <c r="K2" s="46"/>
      <c r="L2" s="46"/>
      <c r="M2" s="46"/>
      <c r="N2" s="46"/>
      <c r="O2" s="46"/>
      <c r="P2" s="46"/>
    </row>
    <row r="3" spans="1:16">
      <c r="A3" s="3"/>
      <c r="B3" s="12" t="s">
        <v>0</v>
      </c>
      <c r="C3" s="13" t="s">
        <v>25</v>
      </c>
      <c r="D3" s="14">
        <v>500</v>
      </c>
      <c r="E3" s="14">
        <v>200</v>
      </c>
      <c r="F3" s="15">
        <v>100</v>
      </c>
      <c r="G3" s="47" t="s">
        <v>39</v>
      </c>
      <c r="H3" s="34"/>
      <c r="I3" s="45" t="s">
        <v>36</v>
      </c>
      <c r="J3" s="34"/>
      <c r="K3" s="46"/>
      <c r="L3" s="46"/>
      <c r="M3" s="46"/>
      <c r="N3" s="46"/>
      <c r="O3" s="46"/>
      <c r="P3" s="46"/>
    </row>
    <row r="4" spans="1:16">
      <c r="A4" s="3"/>
      <c r="B4" s="12"/>
      <c r="C4" s="13"/>
      <c r="D4" s="14"/>
      <c r="E4" s="14"/>
      <c r="F4" s="15"/>
      <c r="G4" s="47"/>
      <c r="H4" s="34"/>
      <c r="I4" s="48" t="s">
        <v>8</v>
      </c>
      <c r="J4" s="49" t="s">
        <v>37</v>
      </c>
      <c r="K4" s="46"/>
      <c r="L4" s="46"/>
      <c r="M4" s="46"/>
      <c r="N4" s="46"/>
      <c r="O4" s="46"/>
      <c r="P4" s="46"/>
    </row>
    <row r="5" spans="1:16" ht="14.25">
      <c r="A5" s="3"/>
      <c r="B5" s="12"/>
      <c r="C5" s="13"/>
      <c r="D5" s="71"/>
      <c r="E5" s="14"/>
      <c r="F5" s="15"/>
      <c r="G5" s="34"/>
      <c r="H5" s="34"/>
      <c r="I5" s="48" t="s">
        <v>9</v>
      </c>
      <c r="J5" s="59" t="s">
        <v>40</v>
      </c>
      <c r="K5" s="46"/>
      <c r="L5" s="46"/>
      <c r="M5" s="46"/>
      <c r="N5" s="46"/>
      <c r="O5" s="46"/>
      <c r="P5" s="46"/>
    </row>
    <row r="6" spans="1:16">
      <c r="A6" s="3"/>
      <c r="B6" s="12"/>
      <c r="C6" s="13"/>
      <c r="D6" s="14"/>
      <c r="E6" s="14"/>
      <c r="F6" s="15"/>
      <c r="G6" s="34"/>
      <c r="H6" s="34"/>
      <c r="I6" s="34"/>
      <c r="J6" s="48" t="s">
        <v>31</v>
      </c>
      <c r="K6" s="46"/>
      <c r="L6" s="46"/>
      <c r="M6" s="46"/>
      <c r="N6" s="46"/>
      <c r="O6" s="46"/>
      <c r="P6" s="46"/>
    </row>
    <row r="7" spans="1:16" ht="14.25">
      <c r="A7" s="3"/>
      <c r="B7" s="12"/>
      <c r="C7" s="13"/>
      <c r="D7" s="14"/>
      <c r="E7" s="14"/>
      <c r="F7" s="15"/>
      <c r="G7" s="34"/>
      <c r="H7" s="34"/>
      <c r="I7" s="48" t="s">
        <v>10</v>
      </c>
      <c r="J7" s="60" t="s">
        <v>41</v>
      </c>
      <c r="K7" s="46"/>
      <c r="L7" s="46"/>
      <c r="M7" s="46"/>
      <c r="N7" s="46"/>
      <c r="O7" s="46"/>
      <c r="P7" s="46"/>
    </row>
    <row r="8" spans="1:16">
      <c r="A8" s="3"/>
      <c r="B8" s="12"/>
      <c r="C8" s="13"/>
      <c r="D8" s="14"/>
      <c r="E8" s="14"/>
      <c r="F8" s="15"/>
      <c r="G8" s="34"/>
      <c r="H8" s="34"/>
      <c r="I8" s="48" t="s">
        <v>1</v>
      </c>
      <c r="J8" s="48" t="s">
        <v>20</v>
      </c>
      <c r="K8" s="46"/>
      <c r="L8" s="46"/>
      <c r="M8" s="46"/>
      <c r="N8" s="46"/>
      <c r="O8" s="46"/>
      <c r="P8" s="46"/>
    </row>
    <row r="9" spans="1:16" ht="14.25">
      <c r="A9" s="3"/>
      <c r="B9" s="12"/>
      <c r="C9" s="13"/>
      <c r="D9" s="14"/>
      <c r="E9" s="14"/>
      <c r="F9" s="15"/>
      <c r="G9" s="34"/>
      <c r="H9" s="34"/>
      <c r="I9" s="48" t="s">
        <v>2</v>
      </c>
      <c r="J9" s="48" t="s">
        <v>38</v>
      </c>
      <c r="K9" s="46"/>
      <c r="L9" s="46"/>
      <c r="M9" s="46"/>
      <c r="N9" s="46"/>
      <c r="O9" s="46"/>
      <c r="P9" s="46"/>
    </row>
    <row r="10" spans="1:16">
      <c r="A10" s="3"/>
      <c r="B10" s="12"/>
      <c r="C10" s="13"/>
      <c r="D10" s="14"/>
      <c r="E10" s="14"/>
      <c r="F10" s="15"/>
      <c r="G10" s="34"/>
      <c r="H10" s="34"/>
      <c r="I10" s="48" t="s">
        <v>3</v>
      </c>
      <c r="J10" s="48" t="s">
        <v>21</v>
      </c>
      <c r="K10" s="46"/>
      <c r="L10" s="46"/>
      <c r="M10" s="46"/>
      <c r="N10" s="46"/>
      <c r="O10" s="46"/>
      <c r="P10" s="46"/>
    </row>
    <row r="11" spans="1:16">
      <c r="B11" s="12"/>
      <c r="C11" s="13"/>
      <c r="D11" s="14"/>
      <c r="E11" s="14"/>
      <c r="F11" s="15"/>
      <c r="G11" s="46"/>
      <c r="H11" s="46"/>
      <c r="I11" s="46"/>
      <c r="J11" s="46"/>
      <c r="K11" s="46"/>
      <c r="L11" s="46"/>
      <c r="M11" s="46"/>
      <c r="N11" s="46"/>
      <c r="O11" s="46"/>
      <c r="P11" s="46"/>
    </row>
    <row r="12" spans="1:16">
      <c r="B12" s="12"/>
      <c r="C12" s="13"/>
      <c r="D12" s="14"/>
      <c r="E12" s="14"/>
      <c r="F12" s="15"/>
    </row>
    <row r="13" spans="1:16">
      <c r="B13" s="12"/>
      <c r="C13" s="13"/>
      <c r="D13" s="14"/>
      <c r="E13" s="14"/>
      <c r="F13" s="15"/>
    </row>
    <row r="14" spans="1:16">
      <c r="B14" s="12"/>
      <c r="C14" s="13"/>
      <c r="D14" s="14"/>
      <c r="E14" s="14"/>
      <c r="F14" s="15"/>
    </row>
    <row r="15" spans="1:16">
      <c r="B15" s="12"/>
      <c r="C15" s="13"/>
      <c r="D15" s="14"/>
      <c r="E15" s="14"/>
      <c r="F15" s="15"/>
    </row>
    <row r="16" spans="1:16">
      <c r="B16" s="12"/>
      <c r="C16" s="13"/>
      <c r="D16" s="14"/>
      <c r="E16" s="14"/>
      <c r="F16" s="15"/>
    </row>
    <row r="17" spans="2:6">
      <c r="B17" s="12"/>
      <c r="C17" s="13"/>
      <c r="D17" s="14"/>
      <c r="E17" s="14"/>
      <c r="F17" s="15"/>
    </row>
    <row r="18" spans="2:6">
      <c r="B18" s="12"/>
      <c r="C18" s="13"/>
      <c r="D18" s="14"/>
      <c r="E18" s="14"/>
      <c r="F18" s="15"/>
    </row>
    <row r="19" spans="2:6">
      <c r="B19" s="12"/>
      <c r="C19" s="13"/>
      <c r="D19" s="14"/>
      <c r="E19" s="14"/>
      <c r="F19" s="15"/>
    </row>
    <row r="20" spans="2:6">
      <c r="B20" s="12"/>
      <c r="C20" s="13"/>
      <c r="D20" s="14"/>
      <c r="E20" s="14"/>
      <c r="F20" s="15"/>
    </row>
    <row r="21" spans="2:6">
      <c r="B21" s="12"/>
      <c r="C21" s="13"/>
      <c r="D21" s="14"/>
      <c r="E21" s="14"/>
      <c r="F21" s="15"/>
    </row>
    <row r="22" spans="2:6">
      <c r="B22" s="12"/>
      <c r="C22" s="13"/>
      <c r="D22" s="14"/>
      <c r="E22" s="14"/>
      <c r="F22" s="15"/>
    </row>
    <row r="23" spans="2:6">
      <c r="B23" s="12"/>
      <c r="C23" s="13"/>
      <c r="D23" s="14"/>
      <c r="E23" s="14"/>
      <c r="F23" s="15"/>
    </row>
    <row r="24" spans="2:6">
      <c r="B24" s="12"/>
      <c r="C24" s="13"/>
      <c r="D24" s="14"/>
      <c r="E24" s="14"/>
      <c r="F24" s="15"/>
    </row>
    <row r="25" spans="2:6" ht="13.5" customHeight="1">
      <c r="B25" s="12"/>
      <c r="C25" s="13"/>
      <c r="D25" s="14"/>
      <c r="E25" s="14"/>
      <c r="F25" s="15"/>
    </row>
    <row r="26" spans="2:6" ht="14.25" customHeight="1">
      <c r="B26" s="12"/>
      <c r="C26" s="13"/>
      <c r="D26" s="14"/>
      <c r="E26" s="14"/>
      <c r="F26" s="15"/>
    </row>
    <row r="27" spans="2:6" ht="13.5" customHeight="1">
      <c r="B27" s="12"/>
      <c r="C27" s="13"/>
      <c r="D27" s="14"/>
      <c r="E27" s="14"/>
      <c r="F27" s="15"/>
    </row>
    <row r="28" spans="2:6" ht="14.25" customHeight="1">
      <c r="B28" s="12"/>
      <c r="C28" s="13"/>
      <c r="D28" s="14"/>
      <c r="E28" s="14"/>
      <c r="F28" s="15"/>
    </row>
    <row r="29" spans="2:6" ht="14.25" customHeight="1">
      <c r="B29" s="12"/>
      <c r="C29" s="13"/>
      <c r="D29" s="14"/>
      <c r="E29" s="14"/>
      <c r="F29" s="15"/>
    </row>
    <row r="30" spans="2:6">
      <c r="B30" s="12"/>
      <c r="C30" s="13"/>
      <c r="D30" s="14"/>
      <c r="E30" s="14"/>
      <c r="F30" s="15"/>
    </row>
    <row r="31" spans="2:6">
      <c r="B31" s="12"/>
      <c r="C31" s="13"/>
      <c r="D31" s="14"/>
      <c r="E31" s="14"/>
      <c r="F31" s="15"/>
    </row>
    <row r="32" spans="2:6">
      <c r="B32" s="12"/>
      <c r="C32" s="13"/>
      <c r="D32" s="14"/>
      <c r="E32" s="14"/>
      <c r="F32" s="15"/>
    </row>
    <row r="33" spans="2:6">
      <c r="B33" s="12"/>
      <c r="C33" s="13"/>
      <c r="D33" s="14"/>
      <c r="E33" s="14"/>
      <c r="F33" s="15"/>
    </row>
    <row r="34" spans="2:6">
      <c r="B34" s="12"/>
      <c r="C34" s="13"/>
      <c r="D34" s="14"/>
      <c r="E34" s="14"/>
      <c r="F34" s="15"/>
    </row>
    <row r="35" spans="2:6">
      <c r="B35" s="12"/>
      <c r="C35" s="13"/>
      <c r="D35" s="14"/>
      <c r="E35" s="14"/>
      <c r="F35" s="15"/>
    </row>
    <row r="36" spans="2:6">
      <c r="B36" s="12"/>
      <c r="C36" s="13"/>
      <c r="D36" s="14"/>
      <c r="E36" s="14"/>
      <c r="F36" s="15"/>
    </row>
    <row r="37" spans="2:6">
      <c r="B37" s="12"/>
      <c r="C37" s="13"/>
      <c r="D37" s="14"/>
      <c r="E37" s="14"/>
      <c r="F37" s="15"/>
    </row>
    <row r="38" spans="2:6">
      <c r="B38" s="12"/>
      <c r="C38" s="13"/>
      <c r="D38" s="14"/>
      <c r="E38" s="14"/>
      <c r="F38" s="15"/>
    </row>
    <row r="39" spans="2:6">
      <c r="B39" s="12"/>
      <c r="C39" s="13"/>
      <c r="D39" s="14"/>
      <c r="E39" s="14"/>
      <c r="F39" s="15"/>
    </row>
    <row r="40" spans="2:6">
      <c r="B40" s="12"/>
      <c r="C40" s="13"/>
      <c r="D40" s="14"/>
      <c r="E40" s="14"/>
      <c r="F40" s="15"/>
    </row>
    <row r="41" spans="2:6">
      <c r="B41" s="12"/>
      <c r="C41" s="13"/>
      <c r="D41" s="14"/>
      <c r="E41" s="14"/>
      <c r="F41" s="15"/>
    </row>
    <row r="42" spans="2:6">
      <c r="B42" s="12"/>
      <c r="C42" s="13"/>
      <c r="D42" s="14"/>
      <c r="E42" s="14"/>
      <c r="F42" s="15"/>
    </row>
    <row r="43" spans="2:6">
      <c r="B43" s="12"/>
      <c r="C43" s="13"/>
      <c r="D43" s="14"/>
      <c r="E43" s="14"/>
      <c r="F43" s="15"/>
    </row>
    <row r="44" spans="2:6">
      <c r="B44" s="12"/>
      <c r="C44" s="13"/>
      <c r="D44" s="14"/>
      <c r="E44" s="14"/>
      <c r="F44" s="15"/>
    </row>
    <row r="45" spans="2:6">
      <c r="B45" s="12"/>
      <c r="C45" s="13"/>
      <c r="D45" s="14"/>
      <c r="E45" s="14"/>
      <c r="F45" s="15"/>
    </row>
    <row r="46" spans="2:6" ht="14.25" thickBot="1">
      <c r="B46" s="39"/>
      <c r="C46" s="40"/>
      <c r="D46" s="41"/>
      <c r="E46" s="41"/>
      <c r="F46" s="72"/>
    </row>
  </sheetData>
  <phoneticPr fontId="2"/>
  <hyperlinks>
    <hyperlink ref="G2" location="雀巢咖啡!A1" display="转至!"/>
    <hyperlink ref="G3" location="青岛啤酒!A1" display="转至!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showGridLines="0" workbookViewId="0"/>
  </sheetViews>
  <sheetFormatPr defaultRowHeight="13.5"/>
  <cols>
    <col min="1" max="1" width="8" bestFit="1" customWidth="1"/>
    <col min="2" max="2" width="8" style="58" bestFit="1" customWidth="1"/>
    <col min="3" max="3" width="8.625" customWidth="1"/>
    <col min="4" max="4" width="33.25" customWidth="1"/>
    <col min="5" max="6" width="11.625" customWidth="1"/>
    <col min="7" max="7" width="9.625" customWidth="1"/>
    <col min="8" max="8" width="10.25" customWidth="1"/>
    <col min="9" max="9" width="1.375" customWidth="1"/>
    <col min="10" max="10" width="1.875" customWidth="1"/>
    <col min="20" max="20" width="27" bestFit="1" customWidth="1"/>
  </cols>
  <sheetData>
    <row r="1" spans="1:8" ht="26.45" customHeight="1" thickBot="1">
      <c r="A1" s="16" t="s">
        <v>7</v>
      </c>
      <c r="B1" s="56"/>
      <c r="C1" s="16" t="s">
        <v>22</v>
      </c>
      <c r="D1" s="61"/>
      <c r="E1" s="64" t="s">
        <v>32</v>
      </c>
      <c r="F1" s="62"/>
      <c r="G1" s="63" t="s">
        <v>42</v>
      </c>
    </row>
    <row r="2" spans="1:8" ht="6" customHeight="1" thickTop="1" thickBot="1">
      <c r="A2" s="3"/>
      <c r="B2" s="57"/>
      <c r="C2" s="3"/>
      <c r="D2" s="3"/>
      <c r="E2" s="3"/>
      <c r="F2" s="3"/>
      <c r="G2" s="3"/>
      <c r="H2" s="3"/>
    </row>
    <row r="3" spans="1:8" ht="32.25" customHeight="1" thickBot="1">
      <c r="A3" s="4" t="s">
        <v>11</v>
      </c>
      <c r="B3" s="77" t="s">
        <v>12</v>
      </c>
      <c r="C3" s="73" t="s">
        <v>17</v>
      </c>
      <c r="D3" s="5" t="s">
        <v>13</v>
      </c>
      <c r="E3" s="5" t="s">
        <v>14</v>
      </c>
      <c r="F3" s="19" t="s">
        <v>6</v>
      </c>
      <c r="G3" s="19" t="s">
        <v>15</v>
      </c>
    </row>
    <row r="4" spans="1:8">
      <c r="A4" s="22">
        <v>2</v>
      </c>
      <c r="B4" s="23">
        <v>37996</v>
      </c>
      <c r="C4" s="74">
        <f>IF(B4="","",VLOOKUP($A$1,货源一览!B:G,6))</f>
        <v>10</v>
      </c>
      <c r="D4" s="25" t="str">
        <f>IF(B4="","",VLOOKUP($A$1,货源一览!B:H,7))</f>
        <v>宇达公司</v>
      </c>
      <c r="E4" s="82">
        <v>25</v>
      </c>
      <c r="F4" s="80">
        <f>IF(E4="","",VLOOKUP($A$1,目录!B:E,4))</f>
        <v>250</v>
      </c>
      <c r="G4" s="78">
        <f>IF(E4="","",E4*F4)</f>
        <v>6250</v>
      </c>
    </row>
    <row r="5" spans="1:8">
      <c r="A5" s="28">
        <v>4</v>
      </c>
      <c r="B5" s="29">
        <v>37996</v>
      </c>
      <c r="C5" s="75">
        <f>IF(B5="","",VLOOKUP($A$1,货源一览!B:G,6))</f>
        <v>10</v>
      </c>
      <c r="D5" s="2" t="str">
        <f>IF(B5="","",VLOOKUP($A$1,货源一览!B:H,7))</f>
        <v>宇达公司</v>
      </c>
      <c r="E5" s="83">
        <v>70</v>
      </c>
      <c r="F5" s="81">
        <f>IF(E5="","",VLOOKUP($A$1,目录!B:E,4))</f>
        <v>250</v>
      </c>
      <c r="G5" s="79">
        <f>IF(E5="","",E5*F5)</f>
        <v>17500</v>
      </c>
    </row>
    <row r="6" spans="1:8">
      <c r="A6" s="28"/>
      <c r="B6" s="29"/>
      <c r="C6" s="75" t="str">
        <f>IF(B6="","",VLOOKUP($A$1,货源一览!B:G,6))</f>
        <v/>
      </c>
      <c r="D6" s="31" t="str">
        <f>IF(B6="","",VLOOKUP($A$1,货源一览!B:H,7))</f>
        <v/>
      </c>
      <c r="E6" s="36"/>
      <c r="F6" s="75" t="str">
        <f>IF(E6="","",VLOOKUP($A$1,目录!B:E,4))</f>
        <v/>
      </c>
      <c r="G6" s="75" t="str">
        <f t="shared" ref="G6:G37" si="0">IF(E6="","",E6*F6)</f>
        <v/>
      </c>
    </row>
    <row r="7" spans="1:8">
      <c r="A7" s="28"/>
      <c r="B7" s="29"/>
      <c r="C7" s="75" t="str">
        <f>IF(B7="","",VLOOKUP($A$1,货源一览!B:G,6))</f>
        <v/>
      </c>
      <c r="D7" s="31" t="str">
        <f>IF(B7="","",VLOOKUP($A$1,货源一览!B:H,7))</f>
        <v/>
      </c>
      <c r="E7" s="36"/>
      <c r="F7" s="75" t="str">
        <f>IF(E7="","",VLOOKUP($A$1,目录!B:E,4))</f>
        <v/>
      </c>
      <c r="G7" s="75" t="str">
        <f t="shared" si="0"/>
        <v/>
      </c>
    </row>
    <row r="8" spans="1:8">
      <c r="A8" s="28"/>
      <c r="B8" s="29"/>
      <c r="C8" s="75" t="str">
        <f>IF(B8="","",VLOOKUP($A$1,货源一览!B:G,6))</f>
        <v/>
      </c>
      <c r="D8" s="31" t="str">
        <f>IF(B8="","",VLOOKUP($A$1,货源一览!B:H,7))</f>
        <v/>
      </c>
      <c r="E8" s="36"/>
      <c r="F8" s="75" t="str">
        <f>IF(E8="","",VLOOKUP($A$1,目录!B:E,4))</f>
        <v/>
      </c>
      <c r="G8" s="75" t="str">
        <f t="shared" si="0"/>
        <v/>
      </c>
    </row>
    <row r="9" spans="1:8">
      <c r="A9" s="28"/>
      <c r="B9" s="29"/>
      <c r="C9" s="75" t="str">
        <f>IF(B9="","",VLOOKUP($A$1,货源一览!B:G,6))</f>
        <v/>
      </c>
      <c r="D9" s="31" t="str">
        <f>IF(B9="","",VLOOKUP($A$1,货源一览!B:H,7))</f>
        <v/>
      </c>
      <c r="E9" s="36"/>
      <c r="F9" s="75" t="str">
        <f>IF(E9="","",VLOOKUP($A$1,目录!B:E,4))</f>
        <v/>
      </c>
      <c r="G9" s="75" t="str">
        <f t="shared" si="0"/>
        <v/>
      </c>
    </row>
    <row r="10" spans="1:8">
      <c r="A10" s="28"/>
      <c r="B10" s="29"/>
      <c r="C10" s="75" t="str">
        <f>IF(B10="","",VLOOKUP($A$1,货源一览!B:G,6))</f>
        <v/>
      </c>
      <c r="D10" s="31" t="str">
        <f>IF(B10="","",VLOOKUP($A$1,货源一览!B:H,7))</f>
        <v/>
      </c>
      <c r="E10" s="36"/>
      <c r="F10" s="75" t="str">
        <f>IF(E10="","",VLOOKUP($A$1,目录!B:E,4))</f>
        <v/>
      </c>
      <c r="G10" s="75" t="str">
        <f t="shared" si="0"/>
        <v/>
      </c>
    </row>
    <row r="11" spans="1:8">
      <c r="A11" s="28"/>
      <c r="B11" s="29"/>
      <c r="C11" s="75" t="str">
        <f>IF(B11="","",VLOOKUP($A$1,货源一览!B:G,6))</f>
        <v/>
      </c>
      <c r="D11" s="31" t="str">
        <f>IF(B11="","",VLOOKUP($A$1,货源一览!B:H,7))</f>
        <v/>
      </c>
      <c r="E11" s="36"/>
      <c r="F11" s="75" t="str">
        <f>IF(E11="","",VLOOKUP($A$1,目录!B:E,4))</f>
        <v/>
      </c>
      <c r="G11" s="75" t="str">
        <f t="shared" si="0"/>
        <v/>
      </c>
    </row>
    <row r="12" spans="1:8">
      <c r="A12" s="28"/>
      <c r="B12" s="29"/>
      <c r="C12" s="75" t="str">
        <f>IF(B12="","",VLOOKUP($A$1,货源一览!B:G,6))</f>
        <v/>
      </c>
      <c r="D12" s="31" t="str">
        <f>IF(B12="","",VLOOKUP($A$1,货源一览!B:H,7))</f>
        <v/>
      </c>
      <c r="E12" s="36"/>
      <c r="F12" s="75" t="str">
        <f>IF(E12="","",VLOOKUP($A$1,目录!B:E,4))</f>
        <v/>
      </c>
      <c r="G12" s="75" t="str">
        <f t="shared" si="0"/>
        <v/>
      </c>
    </row>
    <row r="13" spans="1:8">
      <c r="A13" s="28"/>
      <c r="B13" s="29"/>
      <c r="C13" s="75" t="str">
        <f>IF(B13="","",VLOOKUP($A$1,货源一览!B:G,6))</f>
        <v/>
      </c>
      <c r="D13" s="31" t="str">
        <f>IF(B13="","",VLOOKUP($A$1,货源一览!B:H,7))</f>
        <v/>
      </c>
      <c r="E13" s="36"/>
      <c r="F13" s="75" t="str">
        <f>IF(E13="","",VLOOKUP($A$1,目录!B:E,4))</f>
        <v/>
      </c>
      <c r="G13" s="75" t="str">
        <f t="shared" si="0"/>
        <v/>
      </c>
    </row>
    <row r="14" spans="1:8">
      <c r="A14" s="28"/>
      <c r="B14" s="29"/>
      <c r="C14" s="75" t="str">
        <f>IF(B14="","",VLOOKUP($A$1,货源一览!B:G,6))</f>
        <v/>
      </c>
      <c r="D14" s="31" t="str">
        <f>IF(B14="","",VLOOKUP($A$1,货源一览!B:H,7))</f>
        <v/>
      </c>
      <c r="E14" s="36"/>
      <c r="F14" s="75" t="str">
        <f>IF(E14="","",VLOOKUP($A$1,目录!B:E,4))</f>
        <v/>
      </c>
      <c r="G14" s="75" t="str">
        <f t="shared" si="0"/>
        <v/>
      </c>
    </row>
    <row r="15" spans="1:8">
      <c r="A15" s="28"/>
      <c r="B15" s="29"/>
      <c r="C15" s="75" t="str">
        <f>IF(B15="","",VLOOKUP($A$1,货源一览!B:G,6))</f>
        <v/>
      </c>
      <c r="D15" s="31" t="str">
        <f>IF(B15="","",VLOOKUP($A$1,货源一览!B:H,7))</f>
        <v/>
      </c>
      <c r="E15" s="36"/>
      <c r="F15" s="75" t="str">
        <f>IF(E15="","",VLOOKUP($A$1,目录!B:E,4))</f>
        <v/>
      </c>
      <c r="G15" s="75" t="str">
        <f t="shared" si="0"/>
        <v/>
      </c>
    </row>
    <row r="16" spans="1:8">
      <c r="A16" s="28"/>
      <c r="B16" s="29"/>
      <c r="C16" s="75" t="str">
        <f>IF(B16="","",VLOOKUP($A$1,货源一览!B:G,6))</f>
        <v/>
      </c>
      <c r="D16" s="31" t="str">
        <f>IF(B16="","",VLOOKUP($A$1,货源一览!B:H,7))</f>
        <v/>
      </c>
      <c r="E16" s="36"/>
      <c r="F16" s="75" t="str">
        <f>IF(E16="","",VLOOKUP($A$1,目录!B:E,4))</f>
        <v/>
      </c>
      <c r="G16" s="75" t="str">
        <f t="shared" si="0"/>
        <v/>
      </c>
    </row>
    <row r="17" spans="1:7">
      <c r="A17" s="28"/>
      <c r="B17" s="29"/>
      <c r="C17" s="75" t="str">
        <f>IF(B17="","",VLOOKUP($A$1,货源一览!B:G,6))</f>
        <v/>
      </c>
      <c r="D17" s="31" t="str">
        <f>IF(B17="","",VLOOKUP($A$1,货源一览!B:H,7))</f>
        <v/>
      </c>
      <c r="E17" s="36"/>
      <c r="F17" s="75" t="str">
        <f>IF(E17="","",VLOOKUP($A$1,目录!B:E,4))</f>
        <v/>
      </c>
      <c r="G17" s="75" t="str">
        <f t="shared" si="0"/>
        <v/>
      </c>
    </row>
    <row r="18" spans="1:7">
      <c r="A18" s="28"/>
      <c r="B18" s="29"/>
      <c r="C18" s="75" t="str">
        <f>IF(B18="","",VLOOKUP($A$1,货源一览!B:G,6))</f>
        <v/>
      </c>
      <c r="D18" s="31" t="str">
        <f>IF(B18="","",VLOOKUP($A$1,货源一览!B:H,7))</f>
        <v/>
      </c>
      <c r="E18" s="36"/>
      <c r="F18" s="75" t="str">
        <f>IF(E18="","",VLOOKUP($A$1,目录!B:E,4))</f>
        <v/>
      </c>
      <c r="G18" s="75" t="str">
        <f t="shared" si="0"/>
        <v/>
      </c>
    </row>
    <row r="19" spans="1:7">
      <c r="A19" s="28"/>
      <c r="B19" s="29"/>
      <c r="C19" s="75" t="str">
        <f>IF(B19="","",VLOOKUP($A$1,货源一览!B:G,6))</f>
        <v/>
      </c>
      <c r="D19" s="31" t="str">
        <f>IF(B19="","",VLOOKUP($A$1,货源一览!B:H,7))</f>
        <v/>
      </c>
      <c r="E19" s="36"/>
      <c r="F19" s="75" t="str">
        <f>IF(E19="","",VLOOKUP($A$1,目录!B:E,4))</f>
        <v/>
      </c>
      <c r="G19" s="75" t="str">
        <f t="shared" si="0"/>
        <v/>
      </c>
    </row>
    <row r="20" spans="1:7">
      <c r="A20" s="28"/>
      <c r="B20" s="29"/>
      <c r="C20" s="75" t="str">
        <f>IF(B20="","",VLOOKUP($A$1,货源一览!B:G,6))</f>
        <v/>
      </c>
      <c r="D20" s="31" t="str">
        <f>IF(B20="","",VLOOKUP($A$1,货源一览!B:H,7))</f>
        <v/>
      </c>
      <c r="E20" s="36"/>
      <c r="F20" s="75" t="str">
        <f>IF(E20="","",VLOOKUP($A$1,目录!B:E,4))</f>
        <v/>
      </c>
      <c r="G20" s="75" t="str">
        <f t="shared" si="0"/>
        <v/>
      </c>
    </row>
    <row r="21" spans="1:7">
      <c r="A21" s="28"/>
      <c r="B21" s="29"/>
      <c r="C21" s="75" t="str">
        <f>IF(B21="","",VLOOKUP($A$1,货源一览!B:G,6))</f>
        <v/>
      </c>
      <c r="D21" s="31" t="str">
        <f>IF(B21="","",VLOOKUP($A$1,货源一览!B:H,7))</f>
        <v/>
      </c>
      <c r="E21" s="36"/>
      <c r="F21" s="75" t="str">
        <f>IF(E21="","",VLOOKUP($A$1,目录!B:E,4))</f>
        <v/>
      </c>
      <c r="G21" s="75" t="str">
        <f t="shared" si="0"/>
        <v/>
      </c>
    </row>
    <row r="22" spans="1:7">
      <c r="A22" s="28"/>
      <c r="B22" s="29"/>
      <c r="C22" s="75" t="str">
        <f>IF(B22="","",VLOOKUP($A$1,货源一览!B:G,6))</f>
        <v/>
      </c>
      <c r="D22" s="31" t="str">
        <f>IF(B22="","",VLOOKUP($A$1,货源一览!B:H,7))</f>
        <v/>
      </c>
      <c r="E22" s="36"/>
      <c r="F22" s="75" t="str">
        <f>IF(E22="","",VLOOKUP($A$1,目录!B:E,4))</f>
        <v/>
      </c>
      <c r="G22" s="75" t="str">
        <f t="shared" si="0"/>
        <v/>
      </c>
    </row>
    <row r="23" spans="1:7">
      <c r="A23" s="28"/>
      <c r="B23" s="29"/>
      <c r="C23" s="75" t="str">
        <f>IF(B23="","",VLOOKUP($A$1,货源一览!B:G,6))</f>
        <v/>
      </c>
      <c r="D23" s="31" t="str">
        <f>IF(B23="","",VLOOKUP($A$1,货源一览!B:H,7))</f>
        <v/>
      </c>
      <c r="E23" s="36"/>
      <c r="F23" s="75" t="str">
        <f>IF(E23="","",VLOOKUP($A$1,目录!B:E,4))</f>
        <v/>
      </c>
      <c r="G23" s="75" t="str">
        <f t="shared" si="0"/>
        <v/>
      </c>
    </row>
    <row r="24" spans="1:7">
      <c r="A24" s="28"/>
      <c r="B24" s="29"/>
      <c r="C24" s="75" t="str">
        <f>IF(B24="","",VLOOKUP($A$1,货源一览!B:G,6))</f>
        <v/>
      </c>
      <c r="D24" s="31" t="str">
        <f>IF(B24="","",VLOOKUP($A$1,货源一览!B:H,7))</f>
        <v/>
      </c>
      <c r="E24" s="36"/>
      <c r="F24" s="75" t="str">
        <f>IF(E24="","",VLOOKUP($A$1,目录!B:E,4))</f>
        <v/>
      </c>
      <c r="G24" s="75" t="str">
        <f t="shared" si="0"/>
        <v/>
      </c>
    </row>
    <row r="25" spans="1:7">
      <c r="A25" s="28"/>
      <c r="B25" s="29"/>
      <c r="C25" s="75" t="str">
        <f>IF(B25="","",VLOOKUP($A$1,货源一览!B:G,6))</f>
        <v/>
      </c>
      <c r="D25" s="31" t="str">
        <f>IF(B25="","",VLOOKUP($A$1,货源一览!B:H,7))</f>
        <v/>
      </c>
      <c r="E25" s="36"/>
      <c r="F25" s="75" t="str">
        <f>IF(E25="","",VLOOKUP($A$1,目录!B:E,4))</f>
        <v/>
      </c>
      <c r="G25" s="75" t="str">
        <f t="shared" si="0"/>
        <v/>
      </c>
    </row>
    <row r="26" spans="1:7">
      <c r="A26" s="28"/>
      <c r="B26" s="29"/>
      <c r="C26" s="75" t="str">
        <f>IF(B26="","",VLOOKUP($A$1,货源一览!B:G,6))</f>
        <v/>
      </c>
      <c r="D26" s="31" t="str">
        <f>IF(B26="","",VLOOKUP($A$1,货源一览!B:H,7))</f>
        <v/>
      </c>
      <c r="E26" s="36"/>
      <c r="F26" s="75" t="str">
        <f>IF(E26="","",VLOOKUP($A$1,目录!B:E,4))</f>
        <v/>
      </c>
      <c r="G26" s="75" t="str">
        <f t="shared" si="0"/>
        <v/>
      </c>
    </row>
    <row r="27" spans="1:7">
      <c r="A27" s="28"/>
      <c r="B27" s="29"/>
      <c r="C27" s="75" t="str">
        <f>IF(B27="","",VLOOKUP($A$1,货源一览!B:G,6))</f>
        <v/>
      </c>
      <c r="D27" s="31" t="str">
        <f>IF(B27="","",VLOOKUP($A$1,货源一览!B:H,7))</f>
        <v/>
      </c>
      <c r="E27" s="36"/>
      <c r="F27" s="75" t="str">
        <f>IF(E27="","",VLOOKUP($A$1,目录!B:E,4))</f>
        <v/>
      </c>
      <c r="G27" s="75" t="str">
        <f t="shared" si="0"/>
        <v/>
      </c>
    </row>
    <row r="28" spans="1:7">
      <c r="A28" s="28"/>
      <c r="B28" s="29"/>
      <c r="C28" s="75" t="str">
        <f>IF(B28="","",VLOOKUP($A$1,货源一览!B:G,6))</f>
        <v/>
      </c>
      <c r="D28" s="31" t="str">
        <f>IF(B28="","",VLOOKUP($A$1,货源一览!B:H,7))</f>
        <v/>
      </c>
      <c r="E28" s="36"/>
      <c r="F28" s="75" t="str">
        <f>IF(E28="","",VLOOKUP($A$1,目录!B:E,4))</f>
        <v/>
      </c>
      <c r="G28" s="75" t="str">
        <f t="shared" si="0"/>
        <v/>
      </c>
    </row>
    <row r="29" spans="1:7">
      <c r="A29" s="28"/>
      <c r="B29" s="29"/>
      <c r="C29" s="75" t="str">
        <f>IF(B29="","",VLOOKUP($A$1,货源一览!B:G,6))</f>
        <v/>
      </c>
      <c r="D29" s="31" t="str">
        <f>IF(B29="","",VLOOKUP($A$1,货源一览!B:H,7))</f>
        <v/>
      </c>
      <c r="E29" s="36"/>
      <c r="F29" s="75" t="str">
        <f>IF(E29="","",VLOOKUP($A$1,目录!B:E,4))</f>
        <v/>
      </c>
      <c r="G29" s="75" t="str">
        <f t="shared" si="0"/>
        <v/>
      </c>
    </row>
    <row r="30" spans="1:7">
      <c r="A30" s="28"/>
      <c r="B30" s="29"/>
      <c r="C30" s="75" t="str">
        <f>IF(B30="","",VLOOKUP($A$1,货源一览!B:G,6))</f>
        <v/>
      </c>
      <c r="D30" s="31" t="str">
        <f>IF(B30="","",VLOOKUP($A$1,货源一览!B:H,7))</f>
        <v/>
      </c>
      <c r="E30" s="36"/>
      <c r="F30" s="75" t="str">
        <f>IF(E30="","",VLOOKUP($A$1,目录!B:E,4))</f>
        <v/>
      </c>
      <c r="G30" s="75" t="str">
        <f t="shared" si="0"/>
        <v/>
      </c>
    </row>
    <row r="31" spans="1:7">
      <c r="A31" s="28"/>
      <c r="B31" s="29"/>
      <c r="C31" s="75" t="str">
        <f>IF(B31="","",VLOOKUP($A$1,货源一览!B:G,6))</f>
        <v/>
      </c>
      <c r="D31" s="31" t="str">
        <f>IF(B31="","",VLOOKUP($A$1,货源一览!B:H,7))</f>
        <v/>
      </c>
      <c r="E31" s="36"/>
      <c r="F31" s="75" t="str">
        <f>IF(E31="","",VLOOKUP($A$1,目录!B:E,4))</f>
        <v/>
      </c>
      <c r="G31" s="75" t="str">
        <f t="shared" si="0"/>
        <v/>
      </c>
    </row>
    <row r="32" spans="1:7">
      <c r="A32" s="28"/>
      <c r="B32" s="29"/>
      <c r="C32" s="75" t="str">
        <f>IF(B32="","",VLOOKUP($A$1,货源一览!B:G,6))</f>
        <v/>
      </c>
      <c r="D32" s="31" t="str">
        <f>IF(B32="","",VLOOKUP($A$1,货源一览!B:H,7))</f>
        <v/>
      </c>
      <c r="E32" s="36"/>
      <c r="F32" s="75" t="str">
        <f>IF(E32="","",VLOOKUP($A$1,目录!B:E,4))</f>
        <v/>
      </c>
      <c r="G32" s="75" t="str">
        <f t="shared" si="0"/>
        <v/>
      </c>
    </row>
    <row r="33" spans="1:7">
      <c r="A33" s="28"/>
      <c r="B33" s="29"/>
      <c r="C33" s="75" t="str">
        <f>IF(B33="","",VLOOKUP($A$1,货源一览!B:G,6))</f>
        <v/>
      </c>
      <c r="D33" s="31" t="str">
        <f>IF(B33="","",VLOOKUP($A$1,货源一览!B:H,7))</f>
        <v/>
      </c>
      <c r="E33" s="36"/>
      <c r="F33" s="75" t="str">
        <f>IF(E33="","",VLOOKUP($A$1,目录!B:E,4))</f>
        <v/>
      </c>
      <c r="G33" s="75" t="str">
        <f t="shared" si="0"/>
        <v/>
      </c>
    </row>
    <row r="34" spans="1:7">
      <c r="A34" s="28"/>
      <c r="B34" s="29"/>
      <c r="C34" s="75" t="str">
        <f>IF(B34="","",VLOOKUP($A$1,货源一览!B:G,6))</f>
        <v/>
      </c>
      <c r="D34" s="31" t="str">
        <f>IF(B34="","",VLOOKUP($A$1,货源一览!B:H,7))</f>
        <v/>
      </c>
      <c r="E34" s="36"/>
      <c r="F34" s="75" t="str">
        <f>IF(E34="","",VLOOKUP($A$1,目录!B:E,4))</f>
        <v/>
      </c>
      <c r="G34" s="75" t="str">
        <f t="shared" si="0"/>
        <v/>
      </c>
    </row>
    <row r="35" spans="1:7">
      <c r="A35" s="28"/>
      <c r="B35" s="29"/>
      <c r="C35" s="75" t="str">
        <f>IF(B35="","",VLOOKUP($A$1,货源一览!B:G,6))</f>
        <v/>
      </c>
      <c r="D35" s="31" t="str">
        <f>IF(B35="","",VLOOKUP($A$1,货源一览!B:H,7))</f>
        <v/>
      </c>
      <c r="E35" s="36"/>
      <c r="F35" s="75" t="str">
        <f>IF(E35="","",VLOOKUP($A$1,目录!B:E,4))</f>
        <v/>
      </c>
      <c r="G35" s="75" t="str">
        <f t="shared" si="0"/>
        <v/>
      </c>
    </row>
    <row r="36" spans="1:7">
      <c r="A36" s="28"/>
      <c r="B36" s="29"/>
      <c r="C36" s="75" t="str">
        <f>IF(B36="","",VLOOKUP($A$1,货源一览!B:G,6))</f>
        <v/>
      </c>
      <c r="D36" s="31" t="str">
        <f>IF(B36="","",VLOOKUP($A$1,货源一览!B:H,7))</f>
        <v/>
      </c>
      <c r="E36" s="36"/>
      <c r="F36" s="75" t="str">
        <f>IF(E36="","",VLOOKUP($A$1,目录!B:E,4))</f>
        <v/>
      </c>
      <c r="G36" s="75" t="str">
        <f t="shared" si="0"/>
        <v/>
      </c>
    </row>
    <row r="37" spans="1:7">
      <c r="A37" s="28"/>
      <c r="B37" s="29"/>
      <c r="C37" s="75" t="str">
        <f>IF(B37="","",VLOOKUP($A$1,货源一览!B:G,6))</f>
        <v/>
      </c>
      <c r="D37" s="31" t="str">
        <f>IF(B37="","",VLOOKUP($A$1,货源一览!B:H,7))</f>
        <v/>
      </c>
      <c r="E37" s="36"/>
      <c r="F37" s="75" t="str">
        <f>IF(E37="","",VLOOKUP($A$1,目录!B:E,4))</f>
        <v/>
      </c>
      <c r="G37" s="75" t="str">
        <f t="shared" si="0"/>
        <v/>
      </c>
    </row>
    <row r="38" spans="1:7">
      <c r="A38" s="28"/>
      <c r="B38" s="29"/>
      <c r="C38" s="75" t="str">
        <f>IF(B38="","",VLOOKUP($A$1,货源一览!B:G,6))</f>
        <v/>
      </c>
      <c r="D38" s="31" t="str">
        <f>IF(B38="","",VLOOKUP($A$1,货源一览!B:H,7))</f>
        <v/>
      </c>
      <c r="E38" s="36"/>
      <c r="F38" s="75" t="str">
        <f>IF(E38="","",VLOOKUP($A$1,目录!B:E,4))</f>
        <v/>
      </c>
      <c r="G38" s="75" t="str">
        <f t="shared" ref="G38:G54" si="1">IF(E38="","",E38*F38)</f>
        <v/>
      </c>
    </row>
    <row r="39" spans="1:7">
      <c r="A39" s="28"/>
      <c r="B39" s="29"/>
      <c r="C39" s="75" t="str">
        <f>IF(B39="","",VLOOKUP($A$1,货源一览!B:G,6))</f>
        <v/>
      </c>
      <c r="D39" s="31" t="str">
        <f>IF(B39="","",VLOOKUP($A$1,货源一览!B:H,7))</f>
        <v/>
      </c>
      <c r="E39" s="36"/>
      <c r="F39" s="75" t="str">
        <f>IF(E39="","",VLOOKUP($A$1,目录!B:E,4))</f>
        <v/>
      </c>
      <c r="G39" s="75" t="str">
        <f t="shared" si="1"/>
        <v/>
      </c>
    </row>
    <row r="40" spans="1:7">
      <c r="A40" s="28"/>
      <c r="B40" s="29"/>
      <c r="C40" s="75" t="str">
        <f>IF(B40="","",VLOOKUP($A$1,货源一览!B:G,6))</f>
        <v/>
      </c>
      <c r="D40" s="31" t="str">
        <f>IF(B40="","",VLOOKUP($A$1,货源一览!B:H,7))</f>
        <v/>
      </c>
      <c r="E40" s="36"/>
      <c r="F40" s="75" t="str">
        <f>IF(E40="","",VLOOKUP($A$1,目录!B:E,4))</f>
        <v/>
      </c>
      <c r="G40" s="75" t="str">
        <f t="shared" si="1"/>
        <v/>
      </c>
    </row>
    <row r="41" spans="1:7">
      <c r="A41" s="28"/>
      <c r="B41" s="29"/>
      <c r="C41" s="75" t="str">
        <f>IF(B41="","",VLOOKUP($A$1,货源一览!B:G,6))</f>
        <v/>
      </c>
      <c r="D41" s="31" t="str">
        <f>IF(B41="","",VLOOKUP($A$1,货源一览!B:H,7))</f>
        <v/>
      </c>
      <c r="E41" s="36"/>
      <c r="F41" s="75" t="str">
        <f>IF(E41="","",VLOOKUP($A$1,目录!B:E,4))</f>
        <v/>
      </c>
      <c r="G41" s="75" t="str">
        <f t="shared" si="1"/>
        <v/>
      </c>
    </row>
    <row r="42" spans="1:7">
      <c r="A42" s="28"/>
      <c r="B42" s="29"/>
      <c r="C42" s="75" t="str">
        <f>IF(B42="","",VLOOKUP($A$1,货源一览!B:G,6))</f>
        <v/>
      </c>
      <c r="D42" s="31" t="str">
        <f>IF(B42="","",VLOOKUP($A$1,货源一览!B:H,7))</f>
        <v/>
      </c>
      <c r="E42" s="36"/>
      <c r="F42" s="75" t="str">
        <f>IF(E42="","",VLOOKUP($A$1,目录!B:E,4))</f>
        <v/>
      </c>
      <c r="G42" s="75" t="str">
        <f t="shared" si="1"/>
        <v/>
      </c>
    </row>
    <row r="43" spans="1:7">
      <c r="A43" s="28"/>
      <c r="B43" s="29"/>
      <c r="C43" s="75" t="str">
        <f>IF(B43="","",VLOOKUP($A$1,货源一览!B:G,6))</f>
        <v/>
      </c>
      <c r="D43" s="31" t="str">
        <f>IF(B43="","",VLOOKUP($A$1,货源一览!B:H,7))</f>
        <v/>
      </c>
      <c r="E43" s="36"/>
      <c r="F43" s="75" t="str">
        <f>IF(E43="","",VLOOKUP($A$1,目录!B:E,4))</f>
        <v/>
      </c>
      <c r="G43" s="75" t="str">
        <f t="shared" si="1"/>
        <v/>
      </c>
    </row>
    <row r="44" spans="1:7">
      <c r="A44" s="28"/>
      <c r="B44" s="29"/>
      <c r="C44" s="75" t="str">
        <f>IF(B44="","",VLOOKUP($A$1,货源一览!B:G,6))</f>
        <v/>
      </c>
      <c r="D44" s="31" t="str">
        <f>IF(B44="","",VLOOKUP($A$1,货源一览!B:H,7))</f>
        <v/>
      </c>
      <c r="E44" s="36"/>
      <c r="F44" s="75" t="str">
        <f>IF(E44="","",VLOOKUP($A$1,目录!B:E,4))</f>
        <v/>
      </c>
      <c r="G44" s="75" t="str">
        <f t="shared" si="1"/>
        <v/>
      </c>
    </row>
    <row r="45" spans="1:7">
      <c r="A45" s="28"/>
      <c r="B45" s="29"/>
      <c r="C45" s="75" t="str">
        <f>IF(B45="","",VLOOKUP($A$1,货源一览!B:G,6))</f>
        <v/>
      </c>
      <c r="D45" s="31" t="str">
        <f>IF(B45="","",VLOOKUP($A$1,货源一览!B:H,7))</f>
        <v/>
      </c>
      <c r="E45" s="36"/>
      <c r="F45" s="75" t="str">
        <f>IF(E45="","",VLOOKUP($A$1,目录!B:E,4))</f>
        <v/>
      </c>
      <c r="G45" s="75" t="str">
        <f t="shared" si="1"/>
        <v/>
      </c>
    </row>
    <row r="46" spans="1:7">
      <c r="A46" s="28"/>
      <c r="B46" s="29"/>
      <c r="C46" s="75" t="str">
        <f>IF(B46="","",VLOOKUP($A$1,货源一览!B:G,6))</f>
        <v/>
      </c>
      <c r="D46" s="31" t="str">
        <f>IF(B46="","",VLOOKUP($A$1,货源一览!B:H,7))</f>
        <v/>
      </c>
      <c r="E46" s="36"/>
      <c r="F46" s="75" t="str">
        <f>IF(E46="","",VLOOKUP($A$1,目录!B:E,4))</f>
        <v/>
      </c>
      <c r="G46" s="75" t="str">
        <f t="shared" si="1"/>
        <v/>
      </c>
    </row>
    <row r="47" spans="1:7">
      <c r="A47" s="28"/>
      <c r="B47" s="29"/>
      <c r="C47" s="75" t="str">
        <f>IF(B47="","",VLOOKUP($A$1,货源一览!B:G,6))</f>
        <v/>
      </c>
      <c r="D47" s="31" t="str">
        <f>IF(B47="","",VLOOKUP($A$1,货源一览!B:H,7))</f>
        <v/>
      </c>
      <c r="E47" s="36"/>
      <c r="F47" s="75" t="str">
        <f>IF(E47="","",VLOOKUP($A$1,目录!B:E,4))</f>
        <v/>
      </c>
      <c r="G47" s="75" t="str">
        <f t="shared" si="1"/>
        <v/>
      </c>
    </row>
    <row r="48" spans="1:7">
      <c r="A48" s="28"/>
      <c r="B48" s="29"/>
      <c r="C48" s="75" t="str">
        <f>IF(B48="","",VLOOKUP($A$1,货源一览!B:G,6))</f>
        <v/>
      </c>
      <c r="D48" s="31" t="str">
        <f>IF(B48="","",VLOOKUP($A$1,货源一览!B:H,7))</f>
        <v/>
      </c>
      <c r="E48" s="36"/>
      <c r="F48" s="75" t="str">
        <f>IF(E48="","",VLOOKUP($A$1,目录!B:E,4))</f>
        <v/>
      </c>
      <c r="G48" s="75" t="str">
        <f t="shared" si="1"/>
        <v/>
      </c>
    </row>
    <row r="49" spans="1:7">
      <c r="A49" s="28"/>
      <c r="B49" s="29"/>
      <c r="C49" s="75" t="str">
        <f>IF(B49="","",VLOOKUP($A$1,货源一览!B:G,6))</f>
        <v/>
      </c>
      <c r="D49" s="31" t="str">
        <f>IF(B49="","",VLOOKUP($A$1,货源一览!B:H,7))</f>
        <v/>
      </c>
      <c r="E49" s="36"/>
      <c r="F49" s="75" t="str">
        <f>IF(E49="","",VLOOKUP($A$1,目录!B:E,4))</f>
        <v/>
      </c>
      <c r="G49" s="75" t="str">
        <f t="shared" si="1"/>
        <v/>
      </c>
    </row>
    <row r="50" spans="1:7">
      <c r="A50" s="28"/>
      <c r="B50" s="29"/>
      <c r="C50" s="75" t="str">
        <f>IF(B50="","",VLOOKUP($A$1,货源一览!B:G,6))</f>
        <v/>
      </c>
      <c r="D50" s="31" t="str">
        <f>IF(B50="","",VLOOKUP($A$1,货源一览!B:H,7))</f>
        <v/>
      </c>
      <c r="E50" s="36"/>
      <c r="F50" s="75" t="str">
        <f>IF(E50="","",VLOOKUP($A$1,目录!B:E,4))</f>
        <v/>
      </c>
      <c r="G50" s="75" t="str">
        <f t="shared" si="1"/>
        <v/>
      </c>
    </row>
    <row r="51" spans="1:7">
      <c r="A51" s="28"/>
      <c r="B51" s="29"/>
      <c r="C51" s="75" t="str">
        <f>IF(B51="","",VLOOKUP($A$1,货源一览!B:G,6))</f>
        <v/>
      </c>
      <c r="D51" s="31" t="str">
        <f>IF(B51="","",VLOOKUP($A$1,货源一览!B:H,7))</f>
        <v/>
      </c>
      <c r="E51" s="36"/>
      <c r="F51" s="75" t="str">
        <f>IF(E51="","",VLOOKUP($A$1,目录!B:E,4))</f>
        <v/>
      </c>
      <c r="G51" s="75" t="str">
        <f t="shared" si="1"/>
        <v/>
      </c>
    </row>
    <row r="52" spans="1:7">
      <c r="A52" s="28"/>
      <c r="B52" s="29"/>
      <c r="C52" s="75" t="str">
        <f>IF(B52="","",VLOOKUP($A$1,货源一览!B:G,6))</f>
        <v/>
      </c>
      <c r="D52" s="31" t="str">
        <f>IF(B52="","",VLOOKUP($A$1,货源一览!B:H,7))</f>
        <v/>
      </c>
      <c r="E52" s="36"/>
      <c r="F52" s="75" t="str">
        <f>IF(E52="","",VLOOKUP($A$1,目录!B:E,4))</f>
        <v/>
      </c>
      <c r="G52" s="75" t="str">
        <f t="shared" si="1"/>
        <v/>
      </c>
    </row>
    <row r="53" spans="1:7">
      <c r="A53" s="28"/>
      <c r="B53" s="29"/>
      <c r="C53" s="75" t="str">
        <f>IF(B53="","",VLOOKUP($A$1,货源一览!B:G,6))</f>
        <v/>
      </c>
      <c r="D53" s="31" t="str">
        <f>IF(B53="","",VLOOKUP($A$1,货源一览!B:H,7))</f>
        <v/>
      </c>
      <c r="E53" s="36"/>
      <c r="F53" s="75" t="str">
        <f>IF(E53="","",VLOOKUP($A$1,目录!B:E,4))</f>
        <v/>
      </c>
      <c r="G53" s="75" t="str">
        <f t="shared" si="1"/>
        <v/>
      </c>
    </row>
    <row r="54" spans="1:7" ht="14.25" thickBot="1">
      <c r="A54" s="65"/>
      <c r="B54" s="67"/>
      <c r="C54" s="76" t="str">
        <f>IF(B54="","",VLOOKUP($A$1,货源一览!B:G,6))</f>
        <v/>
      </c>
      <c r="D54" s="66" t="str">
        <f>IF(B54="","",VLOOKUP($A$1,货源一览!B:H,7))</f>
        <v/>
      </c>
      <c r="E54" s="42"/>
      <c r="F54" s="76" t="str">
        <f>IF(E54="","",VLOOKUP($A$1,目录!B:E,4))</f>
        <v/>
      </c>
      <c r="G54" s="76" t="str">
        <f t="shared" si="1"/>
        <v/>
      </c>
    </row>
  </sheetData>
  <sheetCalcPr fullCalcOnLoad="1"/>
  <phoneticPr fontId="2"/>
  <hyperlinks>
    <hyperlink ref="G1" location="目录!A1" display="目次へ"/>
  </hyperlinks>
  <printOptions horizontalCentered="1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showGridLines="0" workbookViewId="0"/>
  </sheetViews>
  <sheetFormatPr defaultRowHeight="13.5"/>
  <cols>
    <col min="1" max="2" width="8" customWidth="1"/>
    <col min="3" max="3" width="8.625" customWidth="1"/>
    <col min="4" max="4" width="33.25" customWidth="1"/>
    <col min="5" max="6" width="11.625" customWidth="1"/>
    <col min="7" max="7" width="9.625" customWidth="1"/>
    <col min="8" max="8" width="9.375" customWidth="1"/>
    <col min="9" max="9" width="1.375" customWidth="1"/>
    <col min="10" max="10" width="1.875" customWidth="1"/>
    <col min="20" max="20" width="27" bestFit="1" customWidth="1"/>
  </cols>
  <sheetData>
    <row r="1" spans="1:8" ht="26.25" thickBot="1">
      <c r="A1" s="16" t="s">
        <v>0</v>
      </c>
      <c r="B1" s="17"/>
      <c r="C1" s="54" t="s">
        <v>23</v>
      </c>
      <c r="D1" s="17"/>
      <c r="E1" s="55" t="s">
        <v>32</v>
      </c>
      <c r="F1" s="50"/>
      <c r="G1" s="18" t="s">
        <v>42</v>
      </c>
    </row>
    <row r="2" spans="1:8" ht="6" customHeight="1" thickTop="1" thickBot="1">
      <c r="A2" s="3"/>
      <c r="B2" s="3"/>
      <c r="C2" s="3"/>
      <c r="D2" s="3"/>
      <c r="E2" s="3"/>
      <c r="F2" s="3"/>
      <c r="G2" s="3"/>
      <c r="H2" s="3"/>
    </row>
    <row r="3" spans="1:8" ht="32.25" customHeight="1" thickBot="1">
      <c r="A3" s="4" t="s">
        <v>11</v>
      </c>
      <c r="B3" s="19" t="s">
        <v>12</v>
      </c>
      <c r="C3" s="20" t="s">
        <v>17</v>
      </c>
      <c r="D3" s="5" t="s">
        <v>13</v>
      </c>
      <c r="E3" s="5" t="s">
        <v>14</v>
      </c>
      <c r="F3" s="5" t="s">
        <v>6</v>
      </c>
      <c r="G3" s="5" t="s">
        <v>15</v>
      </c>
    </row>
    <row r="4" spans="1:8">
      <c r="A4" s="22">
        <v>1</v>
      </c>
      <c r="B4" s="23">
        <v>38000</v>
      </c>
      <c r="C4" s="24">
        <f>IF(B4="","",VLOOKUP($A$1,货源一览!B:G,6))</f>
        <v>20</v>
      </c>
      <c r="D4" s="25" t="str">
        <f>IF(B4="","",VLOOKUP($A$1,货源一览!B:H,7))</f>
        <v>华立集团</v>
      </c>
      <c r="E4" s="26">
        <v>25</v>
      </c>
      <c r="F4" s="27">
        <f>IF(E4="","",VLOOKUP($A$1,目录!B:E,4))</f>
        <v>200</v>
      </c>
      <c r="G4" s="25">
        <f>IF(E4="","",E4*F4)</f>
        <v>5000</v>
      </c>
    </row>
    <row r="5" spans="1:8">
      <c r="A5" s="28">
        <v>4</v>
      </c>
      <c r="B5" s="29">
        <v>38005</v>
      </c>
      <c r="C5" s="30">
        <f>IF(B5="","",VLOOKUP($A$1,货源一览!B:G,6))</f>
        <v>20</v>
      </c>
      <c r="D5" s="31" t="str">
        <f>IF(B5="","",VLOOKUP($A$1,货源一览!B:H,7))</f>
        <v>华立集团</v>
      </c>
      <c r="E5" s="32">
        <v>70</v>
      </c>
      <c r="F5" s="33">
        <f>IF(E5="","",VLOOKUP($A$1,目录!B:E,4))</f>
        <v>200</v>
      </c>
      <c r="G5" s="31">
        <f>IF(E5="","",E5*F5)</f>
        <v>14000</v>
      </c>
    </row>
    <row r="6" spans="1:8">
      <c r="A6" s="28">
        <v>12</v>
      </c>
      <c r="B6" s="29">
        <v>38018</v>
      </c>
      <c r="C6" s="30">
        <f>IF(B6="","",VLOOKUP($A$1,货源一览!B:G,6))</f>
        <v>20</v>
      </c>
      <c r="D6" s="31" t="str">
        <f>IF(B6="","",VLOOKUP($A$1,货源一览!B:H,7))</f>
        <v>华立集团</v>
      </c>
      <c r="E6" s="32">
        <v>3</v>
      </c>
      <c r="F6" s="33">
        <f>IF(E6="","",VLOOKUP($A$1,目录!B:E,4))</f>
        <v>200</v>
      </c>
      <c r="G6" s="31">
        <f t="shared" ref="G6:G37" si="0">IF(E6="","",E6*F6)</f>
        <v>600</v>
      </c>
    </row>
    <row r="7" spans="1:8">
      <c r="A7" s="28"/>
      <c r="B7" s="29"/>
      <c r="C7" s="30" t="str">
        <f>IF(B7="","",VLOOKUP($A$1,货源一览!B:G,6))</f>
        <v/>
      </c>
      <c r="D7" s="31" t="str">
        <f>IF(B7="","",VLOOKUP($A$1,货源一览!B:H,7))</f>
        <v/>
      </c>
      <c r="E7" s="32"/>
      <c r="F7" s="33" t="str">
        <f>IF(E7="","",VLOOKUP($A$1,目录!B:E,4))</f>
        <v/>
      </c>
      <c r="G7" s="31" t="str">
        <f t="shared" si="0"/>
        <v/>
      </c>
    </row>
    <row r="8" spans="1:8">
      <c r="A8" s="28"/>
      <c r="B8" s="29"/>
      <c r="C8" s="30" t="str">
        <f>IF(B8="","",VLOOKUP($A$1,货源一览!B:G,6))</f>
        <v/>
      </c>
      <c r="D8" s="31" t="str">
        <f>IF(B8="","",VLOOKUP($A$1,货源一览!B:H,7))</f>
        <v/>
      </c>
      <c r="E8" s="32"/>
      <c r="F8" s="33" t="str">
        <f>IF(E8="","",VLOOKUP($A$1,目录!B:E,4))</f>
        <v/>
      </c>
      <c r="G8" s="31" t="str">
        <f t="shared" si="0"/>
        <v/>
      </c>
    </row>
    <row r="9" spans="1:8">
      <c r="A9" s="28"/>
      <c r="B9" s="29"/>
      <c r="C9" s="30" t="str">
        <f>IF(B9="","",VLOOKUP($A$1,货源一览!B:G,6))</f>
        <v/>
      </c>
      <c r="D9" s="31" t="str">
        <f>IF(B9="","",VLOOKUP($A$1,货源一览!B:H,7))</f>
        <v/>
      </c>
      <c r="E9" s="32"/>
      <c r="F9" s="33" t="str">
        <f>IF(E9="","",VLOOKUP($A$1,目录!B:E,4))</f>
        <v/>
      </c>
      <c r="G9" s="31" t="str">
        <f t="shared" si="0"/>
        <v/>
      </c>
    </row>
    <row r="10" spans="1:8">
      <c r="A10" s="28"/>
      <c r="B10" s="29"/>
      <c r="C10" s="30" t="str">
        <f>IF(B10="","",VLOOKUP($A$1,货源一览!B:G,6))</f>
        <v/>
      </c>
      <c r="D10" s="31" t="str">
        <f>IF(B10="","",VLOOKUP($A$1,货源一览!B:H,7))</f>
        <v/>
      </c>
      <c r="E10" s="32"/>
      <c r="F10" s="33" t="str">
        <f>IF(E10="","",VLOOKUP($A$1,目录!B:E,4))</f>
        <v/>
      </c>
      <c r="G10" s="31" t="str">
        <f t="shared" si="0"/>
        <v/>
      </c>
    </row>
    <row r="11" spans="1:8">
      <c r="A11" s="28"/>
      <c r="B11" s="29"/>
      <c r="C11" s="30" t="str">
        <f>IF(B11="","",VLOOKUP($A$1,货源一览!B:G,6))</f>
        <v/>
      </c>
      <c r="D11" s="31" t="str">
        <f>IF(B11="","",VLOOKUP($A$1,货源一览!B:H,7))</f>
        <v/>
      </c>
      <c r="E11" s="32"/>
      <c r="F11" s="33" t="str">
        <f>IF(E11="","",VLOOKUP($A$1,目录!B:E,4))</f>
        <v/>
      </c>
      <c r="G11" s="31" t="str">
        <f t="shared" si="0"/>
        <v/>
      </c>
    </row>
    <row r="12" spans="1:8">
      <c r="A12" s="28"/>
      <c r="B12" s="29"/>
      <c r="C12" s="30" t="str">
        <f>IF(B12="","",VLOOKUP($A$1,货源一览!B:G,6))</f>
        <v/>
      </c>
      <c r="D12" s="31" t="str">
        <f>IF(B12="","",VLOOKUP($A$1,货源一览!B:H,7))</f>
        <v/>
      </c>
      <c r="E12" s="32"/>
      <c r="F12" s="33" t="str">
        <f>IF(E12="","",VLOOKUP($A$1,目录!B:E,4))</f>
        <v/>
      </c>
      <c r="G12" s="31" t="str">
        <f t="shared" si="0"/>
        <v/>
      </c>
    </row>
    <row r="13" spans="1:8">
      <c r="A13" s="28"/>
      <c r="B13" s="29"/>
      <c r="C13" s="30" t="str">
        <f>IF(B13="","",VLOOKUP($A$1,货源一览!B:G,6))</f>
        <v/>
      </c>
      <c r="D13" s="31" t="str">
        <f>IF(B13="","",VLOOKUP($A$1,货源一览!B:H,7))</f>
        <v/>
      </c>
      <c r="E13" s="32"/>
      <c r="F13" s="33" t="str">
        <f>IF(E13="","",VLOOKUP($A$1,目录!B:E,4))</f>
        <v/>
      </c>
      <c r="G13" s="31" t="str">
        <f t="shared" si="0"/>
        <v/>
      </c>
    </row>
    <row r="14" spans="1:8">
      <c r="A14" s="28"/>
      <c r="B14" s="29"/>
      <c r="C14" s="30" t="str">
        <f>IF(B14="","",VLOOKUP($A$1,货源一览!B:G,6))</f>
        <v/>
      </c>
      <c r="D14" s="31" t="str">
        <f>IF(B14="","",VLOOKUP($A$1,货源一览!B:H,7))</f>
        <v/>
      </c>
      <c r="E14" s="32"/>
      <c r="F14" s="33" t="str">
        <f>IF(E14="","",VLOOKUP($A$1,目录!B:E,4))</f>
        <v/>
      </c>
      <c r="G14" s="31" t="str">
        <f t="shared" si="0"/>
        <v/>
      </c>
    </row>
    <row r="15" spans="1:8">
      <c r="A15" s="28"/>
      <c r="B15" s="29"/>
      <c r="C15" s="30" t="str">
        <f>IF(B15="","",VLOOKUP($A$1,货源一览!B:G,6))</f>
        <v/>
      </c>
      <c r="D15" s="31" t="str">
        <f>IF(B15="","",VLOOKUP($A$1,货源一览!B:H,7))</f>
        <v/>
      </c>
      <c r="E15" s="32"/>
      <c r="F15" s="33" t="str">
        <f>IF(E15="","",VLOOKUP($A$1,目录!B:E,4))</f>
        <v/>
      </c>
      <c r="G15" s="31" t="str">
        <f t="shared" si="0"/>
        <v/>
      </c>
    </row>
    <row r="16" spans="1:8">
      <c r="A16" s="28"/>
      <c r="B16" s="29"/>
      <c r="C16" s="30" t="str">
        <f>IF(B16="","",VLOOKUP($A$1,货源一览!B:G,6))</f>
        <v/>
      </c>
      <c r="D16" s="31" t="str">
        <f>IF(B16="","",VLOOKUP($A$1,货源一览!B:H,7))</f>
        <v/>
      </c>
      <c r="E16" s="32"/>
      <c r="F16" s="33" t="str">
        <f>IF(E16="","",VLOOKUP($A$1,目录!B:E,4))</f>
        <v/>
      </c>
      <c r="G16" s="31" t="str">
        <f t="shared" si="0"/>
        <v/>
      </c>
    </row>
    <row r="17" spans="1:7">
      <c r="A17" s="28"/>
      <c r="B17" s="29"/>
      <c r="C17" s="30" t="str">
        <f>IF(B17="","",VLOOKUP($A$1,货源一览!B:G,6))</f>
        <v/>
      </c>
      <c r="D17" s="31" t="str">
        <f>IF(B17="","",VLOOKUP($A$1,货源一览!B:H,7))</f>
        <v/>
      </c>
      <c r="E17" s="32"/>
      <c r="F17" s="33" t="str">
        <f>IF(E17="","",VLOOKUP($A$1,目录!B:E,4))</f>
        <v/>
      </c>
      <c r="G17" s="31" t="str">
        <f t="shared" si="0"/>
        <v/>
      </c>
    </row>
    <row r="18" spans="1:7">
      <c r="A18" s="28"/>
      <c r="B18" s="29"/>
      <c r="C18" s="30" t="str">
        <f>IF(B18="","",VLOOKUP($A$1,货源一览!B:G,6))</f>
        <v/>
      </c>
      <c r="D18" s="31" t="str">
        <f>IF(B18="","",VLOOKUP($A$1,货源一览!B:H,7))</f>
        <v/>
      </c>
      <c r="E18" s="32"/>
      <c r="F18" s="33" t="str">
        <f>IF(E18="","",VLOOKUP($A$1,目录!B:E,4))</f>
        <v/>
      </c>
      <c r="G18" s="31" t="str">
        <f t="shared" si="0"/>
        <v/>
      </c>
    </row>
    <row r="19" spans="1:7">
      <c r="A19" s="28"/>
      <c r="B19" s="29"/>
      <c r="C19" s="30" t="str">
        <f>IF(B19="","",VLOOKUP($A$1,货源一览!B:G,6))</f>
        <v/>
      </c>
      <c r="D19" s="31" t="str">
        <f>IF(B19="","",VLOOKUP($A$1,货源一览!B:H,7))</f>
        <v/>
      </c>
      <c r="E19" s="32"/>
      <c r="F19" s="33" t="str">
        <f>IF(E19="","",VLOOKUP($A$1,目录!B:E,4))</f>
        <v/>
      </c>
      <c r="G19" s="31" t="str">
        <f t="shared" si="0"/>
        <v/>
      </c>
    </row>
    <row r="20" spans="1:7">
      <c r="A20" s="28"/>
      <c r="B20" s="29"/>
      <c r="C20" s="30" t="str">
        <f>IF(B20="","",VLOOKUP($A$1,货源一览!B:G,6))</f>
        <v/>
      </c>
      <c r="D20" s="31" t="str">
        <f>IF(B20="","",VLOOKUP($A$1,货源一览!B:H,7))</f>
        <v/>
      </c>
      <c r="E20" s="32"/>
      <c r="F20" s="33" t="str">
        <f>IF(E20="","",VLOOKUP($A$1,目录!B:E,4))</f>
        <v/>
      </c>
      <c r="G20" s="31" t="str">
        <f t="shared" si="0"/>
        <v/>
      </c>
    </row>
    <row r="21" spans="1:7">
      <c r="A21" s="28"/>
      <c r="B21" s="29"/>
      <c r="C21" s="30" t="str">
        <f>IF(B21="","",VLOOKUP($A$1,货源一览!B:G,6))</f>
        <v/>
      </c>
      <c r="D21" s="31" t="str">
        <f>IF(B21="","",VLOOKUP($A$1,货源一览!B:H,7))</f>
        <v/>
      </c>
      <c r="E21" s="32"/>
      <c r="F21" s="33" t="str">
        <f>IF(E21="","",VLOOKUP($A$1,目录!B:E,4))</f>
        <v/>
      </c>
      <c r="G21" s="31" t="str">
        <f t="shared" si="0"/>
        <v/>
      </c>
    </row>
    <row r="22" spans="1:7">
      <c r="A22" s="28"/>
      <c r="B22" s="29"/>
      <c r="C22" s="30" t="str">
        <f>IF(B22="","",VLOOKUP($A$1,货源一览!B:G,6))</f>
        <v/>
      </c>
      <c r="D22" s="31" t="str">
        <f>IF(B22="","",VLOOKUP($A$1,货源一览!B:H,7))</f>
        <v/>
      </c>
      <c r="E22" s="32"/>
      <c r="F22" s="33" t="str">
        <f>IF(E22="","",VLOOKUP($A$1,目录!B:E,4))</f>
        <v/>
      </c>
      <c r="G22" s="31" t="str">
        <f t="shared" si="0"/>
        <v/>
      </c>
    </row>
    <row r="23" spans="1:7">
      <c r="A23" s="28"/>
      <c r="B23" s="29"/>
      <c r="C23" s="30" t="str">
        <f>IF(B23="","",VLOOKUP($A$1,货源一览!B:G,6))</f>
        <v/>
      </c>
      <c r="D23" s="31" t="str">
        <f>IF(B23="","",VLOOKUP($A$1,货源一览!B:H,7))</f>
        <v/>
      </c>
      <c r="E23" s="32"/>
      <c r="F23" s="33" t="str">
        <f>IF(E23="","",VLOOKUP($A$1,目录!B:E,4))</f>
        <v/>
      </c>
      <c r="G23" s="31" t="str">
        <f t="shared" si="0"/>
        <v/>
      </c>
    </row>
    <row r="24" spans="1:7">
      <c r="A24" s="28"/>
      <c r="B24" s="29"/>
      <c r="C24" s="30" t="str">
        <f>IF(B24="","",VLOOKUP($A$1,货源一览!B:G,6))</f>
        <v/>
      </c>
      <c r="D24" s="31" t="str">
        <f>IF(B24="","",VLOOKUP($A$1,货源一览!B:H,7))</f>
        <v/>
      </c>
      <c r="E24" s="32"/>
      <c r="F24" s="33" t="str">
        <f>IF(E24="","",VLOOKUP($A$1,目录!B:E,4))</f>
        <v/>
      </c>
      <c r="G24" s="31" t="str">
        <f t="shared" si="0"/>
        <v/>
      </c>
    </row>
    <row r="25" spans="1:7">
      <c r="A25" s="28"/>
      <c r="B25" s="29"/>
      <c r="C25" s="30" t="str">
        <f>IF(B25="","",VLOOKUP($A$1,货源一览!B:G,6))</f>
        <v/>
      </c>
      <c r="D25" s="31" t="str">
        <f>IF(B25="","",VLOOKUP($A$1,货源一览!B:H,7))</f>
        <v/>
      </c>
      <c r="E25" s="32"/>
      <c r="F25" s="33" t="str">
        <f>IF(E25="","",VLOOKUP($A$1,目录!B:E,4))</f>
        <v/>
      </c>
      <c r="G25" s="31" t="str">
        <f t="shared" si="0"/>
        <v/>
      </c>
    </row>
    <row r="26" spans="1:7">
      <c r="A26" s="28"/>
      <c r="B26" s="29"/>
      <c r="C26" s="30" t="str">
        <f>IF(B26="","",VLOOKUP($A$1,货源一览!B:G,6))</f>
        <v/>
      </c>
      <c r="D26" s="31" t="str">
        <f>IF(B26="","",VLOOKUP($A$1,货源一览!B:H,7))</f>
        <v/>
      </c>
      <c r="E26" s="32"/>
      <c r="F26" s="33" t="str">
        <f>IF(E26="","",VLOOKUP($A$1,目录!B:E,4))</f>
        <v/>
      </c>
      <c r="G26" s="31" t="str">
        <f t="shared" si="0"/>
        <v/>
      </c>
    </row>
    <row r="27" spans="1:7">
      <c r="A27" s="28"/>
      <c r="B27" s="29"/>
      <c r="C27" s="30" t="str">
        <f>IF(B27="","",VLOOKUP($A$1,货源一览!B:G,6))</f>
        <v/>
      </c>
      <c r="D27" s="31" t="str">
        <f>IF(B27="","",VLOOKUP($A$1,货源一览!B:H,7))</f>
        <v/>
      </c>
      <c r="E27" s="32"/>
      <c r="F27" s="33" t="str">
        <f>IF(E27="","",VLOOKUP($A$1,目录!B:E,4))</f>
        <v/>
      </c>
      <c r="G27" s="31" t="str">
        <f t="shared" si="0"/>
        <v/>
      </c>
    </row>
    <row r="28" spans="1:7">
      <c r="A28" s="28"/>
      <c r="B28" s="29"/>
      <c r="C28" s="30" t="str">
        <f>IF(B28="","",VLOOKUP($A$1,货源一览!B:G,6))</f>
        <v/>
      </c>
      <c r="D28" s="31" t="str">
        <f>IF(B28="","",VLOOKUP($A$1,货源一览!B:H,7))</f>
        <v/>
      </c>
      <c r="E28" s="32"/>
      <c r="F28" s="33" t="str">
        <f>IF(E28="","",VLOOKUP($A$1,目录!B:E,4))</f>
        <v/>
      </c>
      <c r="G28" s="31" t="str">
        <f t="shared" si="0"/>
        <v/>
      </c>
    </row>
    <row r="29" spans="1:7">
      <c r="A29" s="28"/>
      <c r="B29" s="29"/>
      <c r="C29" s="30" t="str">
        <f>IF(B29="","",VLOOKUP($A$1,货源一览!B:G,6))</f>
        <v/>
      </c>
      <c r="D29" s="31" t="str">
        <f>IF(B29="","",VLOOKUP($A$1,货源一览!B:H,7))</f>
        <v/>
      </c>
      <c r="E29" s="32"/>
      <c r="F29" s="33" t="str">
        <f>IF(E29="","",VLOOKUP($A$1,目录!B:E,4))</f>
        <v/>
      </c>
      <c r="G29" s="31" t="str">
        <f t="shared" si="0"/>
        <v/>
      </c>
    </row>
    <row r="30" spans="1:7">
      <c r="A30" s="28"/>
      <c r="B30" s="29"/>
      <c r="C30" s="30" t="str">
        <f>IF(B30="","",VLOOKUP($A$1,货源一览!B:G,6))</f>
        <v/>
      </c>
      <c r="D30" s="31" t="str">
        <f>IF(B30="","",VLOOKUP($A$1,货源一览!B:H,7))</f>
        <v/>
      </c>
      <c r="E30" s="32"/>
      <c r="F30" s="33" t="str">
        <f>IF(E30="","",VLOOKUP($A$1,目录!B:E,4))</f>
        <v/>
      </c>
      <c r="G30" s="31" t="str">
        <f t="shared" si="0"/>
        <v/>
      </c>
    </row>
    <row r="31" spans="1:7">
      <c r="A31" s="28"/>
      <c r="B31" s="29"/>
      <c r="C31" s="30" t="str">
        <f>IF(B31="","",VLOOKUP($A$1,货源一览!B:G,6))</f>
        <v/>
      </c>
      <c r="D31" s="31" t="str">
        <f>IF(B31="","",VLOOKUP($A$1,货源一览!B:H,7))</f>
        <v/>
      </c>
      <c r="E31" s="32"/>
      <c r="F31" s="33" t="str">
        <f>IF(E31="","",VLOOKUP($A$1,目录!B:E,4))</f>
        <v/>
      </c>
      <c r="G31" s="31" t="str">
        <f t="shared" si="0"/>
        <v/>
      </c>
    </row>
    <row r="32" spans="1:7">
      <c r="A32" s="28"/>
      <c r="B32" s="29"/>
      <c r="C32" s="30" t="str">
        <f>IF(B32="","",VLOOKUP($A$1,货源一览!B:G,6))</f>
        <v/>
      </c>
      <c r="D32" s="31" t="str">
        <f>IF(B32="","",VLOOKUP($A$1,货源一览!B:H,7))</f>
        <v/>
      </c>
      <c r="E32" s="32"/>
      <c r="F32" s="33" t="str">
        <f>IF(E32="","",VLOOKUP($A$1,目录!B:E,4))</f>
        <v/>
      </c>
      <c r="G32" s="31" t="str">
        <f t="shared" si="0"/>
        <v/>
      </c>
    </row>
    <row r="33" spans="1:7">
      <c r="A33" s="28"/>
      <c r="B33" s="29"/>
      <c r="C33" s="30" t="str">
        <f>IF(B33="","",VLOOKUP($A$1,货源一览!B:G,6))</f>
        <v/>
      </c>
      <c r="D33" s="31" t="str">
        <f>IF(B33="","",VLOOKUP($A$1,货源一览!B:H,7))</f>
        <v/>
      </c>
      <c r="E33" s="32"/>
      <c r="F33" s="33" t="str">
        <f>IF(E33="","",VLOOKUP($A$1,目录!B:E,4))</f>
        <v/>
      </c>
      <c r="G33" s="31" t="str">
        <f t="shared" si="0"/>
        <v/>
      </c>
    </row>
    <row r="34" spans="1:7">
      <c r="A34" s="28"/>
      <c r="B34" s="29"/>
      <c r="C34" s="30" t="str">
        <f>IF(B34="","",VLOOKUP($A$1,货源一览!B:G,6))</f>
        <v/>
      </c>
      <c r="D34" s="31" t="str">
        <f>IF(B34="","",VLOOKUP($A$1,货源一览!B:H,7))</f>
        <v/>
      </c>
      <c r="E34" s="32"/>
      <c r="F34" s="33" t="str">
        <f>IF(E34="","",VLOOKUP($A$1,目录!B:E,4))</f>
        <v/>
      </c>
      <c r="G34" s="31" t="str">
        <f t="shared" si="0"/>
        <v/>
      </c>
    </row>
    <row r="35" spans="1:7">
      <c r="A35" s="28"/>
      <c r="B35" s="29"/>
      <c r="C35" s="30" t="str">
        <f>IF(B35="","",VLOOKUP($A$1,货源一览!B:G,6))</f>
        <v/>
      </c>
      <c r="D35" s="31" t="str">
        <f>IF(B35="","",VLOOKUP($A$1,货源一览!B:H,7))</f>
        <v/>
      </c>
      <c r="E35" s="32"/>
      <c r="F35" s="33" t="str">
        <f>IF(E35="","",VLOOKUP($A$1,目录!B:E,4))</f>
        <v/>
      </c>
      <c r="G35" s="31" t="str">
        <f t="shared" si="0"/>
        <v/>
      </c>
    </row>
    <row r="36" spans="1:7">
      <c r="A36" s="28"/>
      <c r="B36" s="29"/>
      <c r="C36" s="30" t="str">
        <f>IF(B36="","",VLOOKUP($A$1,货源一览!B:G,6))</f>
        <v/>
      </c>
      <c r="D36" s="31" t="str">
        <f>IF(B36="","",VLOOKUP($A$1,货源一览!B:H,7))</f>
        <v/>
      </c>
      <c r="E36" s="32"/>
      <c r="F36" s="33" t="str">
        <f>IF(E36="","",VLOOKUP($A$1,目录!B:E,4))</f>
        <v/>
      </c>
      <c r="G36" s="31" t="str">
        <f t="shared" si="0"/>
        <v/>
      </c>
    </row>
    <row r="37" spans="1:7">
      <c r="A37" s="28"/>
      <c r="B37" s="29"/>
      <c r="C37" s="30" t="str">
        <f>IF(B37="","",VLOOKUP($A$1,货源一览!B:G,6))</f>
        <v/>
      </c>
      <c r="D37" s="31" t="str">
        <f>IF(B37="","",VLOOKUP($A$1,货源一览!B:H,7))</f>
        <v/>
      </c>
      <c r="E37" s="32"/>
      <c r="F37" s="33" t="str">
        <f>IF(E37="","",VLOOKUP($A$1,目录!B:E,4))</f>
        <v/>
      </c>
      <c r="G37" s="31" t="str">
        <f t="shared" si="0"/>
        <v/>
      </c>
    </row>
    <row r="38" spans="1:7">
      <c r="A38" s="28"/>
      <c r="B38" s="29"/>
      <c r="C38" s="30" t="str">
        <f>IF(B38="","",VLOOKUP($A$1,货源一览!B:G,6))</f>
        <v/>
      </c>
      <c r="D38" s="31" t="str">
        <f>IF(B38="","",VLOOKUP($A$1,货源一览!B:H,7))</f>
        <v/>
      </c>
      <c r="E38" s="32"/>
      <c r="F38" s="33" t="str">
        <f>IF(E38="","",VLOOKUP($A$1,目录!B:E,4))</f>
        <v/>
      </c>
      <c r="G38" s="31" t="str">
        <f t="shared" ref="G38:G54" si="1">IF(E38="","",E38*F38)</f>
        <v/>
      </c>
    </row>
    <row r="39" spans="1:7">
      <c r="A39" s="28"/>
      <c r="B39" s="29"/>
      <c r="C39" s="30" t="str">
        <f>IF(B39="","",VLOOKUP($A$1,货源一览!B:G,6))</f>
        <v/>
      </c>
      <c r="D39" s="31" t="str">
        <f>IF(B39="","",VLOOKUP($A$1,货源一览!B:H,7))</f>
        <v/>
      </c>
      <c r="E39" s="32"/>
      <c r="F39" s="33" t="str">
        <f>IF(E39="","",VLOOKUP($A$1,目录!B:E,4))</f>
        <v/>
      </c>
      <c r="G39" s="31" t="str">
        <f t="shared" si="1"/>
        <v/>
      </c>
    </row>
    <row r="40" spans="1:7">
      <c r="A40" s="28"/>
      <c r="B40" s="29"/>
      <c r="C40" s="30" t="str">
        <f>IF(B40="","",VLOOKUP($A$1,货源一览!B:G,6))</f>
        <v/>
      </c>
      <c r="D40" s="31" t="str">
        <f>IF(B40="","",VLOOKUP($A$1,货源一览!B:H,7))</f>
        <v/>
      </c>
      <c r="E40" s="32"/>
      <c r="F40" s="33" t="str">
        <f>IF(E40="","",VLOOKUP($A$1,目录!B:E,4))</f>
        <v/>
      </c>
      <c r="G40" s="31" t="str">
        <f t="shared" si="1"/>
        <v/>
      </c>
    </row>
    <row r="41" spans="1:7">
      <c r="A41" s="28"/>
      <c r="B41" s="29"/>
      <c r="C41" s="30" t="str">
        <f>IF(B41="","",VLOOKUP($A$1,货源一览!B:G,6))</f>
        <v/>
      </c>
      <c r="D41" s="31" t="str">
        <f>IF(B41="","",VLOOKUP($A$1,货源一览!B:H,7))</f>
        <v/>
      </c>
      <c r="E41" s="32"/>
      <c r="F41" s="33" t="str">
        <f>IF(E41="","",VLOOKUP($A$1,目录!B:E,4))</f>
        <v/>
      </c>
      <c r="G41" s="31" t="str">
        <f t="shared" si="1"/>
        <v/>
      </c>
    </row>
    <row r="42" spans="1:7">
      <c r="A42" s="28"/>
      <c r="B42" s="29"/>
      <c r="C42" s="30" t="str">
        <f>IF(B42="","",VLOOKUP($A$1,货源一览!B:G,6))</f>
        <v/>
      </c>
      <c r="D42" s="31" t="str">
        <f>IF(B42="","",VLOOKUP($A$1,货源一览!B:H,7))</f>
        <v/>
      </c>
      <c r="E42" s="32"/>
      <c r="F42" s="33" t="str">
        <f>IF(E42="","",VLOOKUP($A$1,目录!B:E,4))</f>
        <v/>
      </c>
      <c r="G42" s="31" t="str">
        <f t="shared" si="1"/>
        <v/>
      </c>
    </row>
    <row r="43" spans="1:7">
      <c r="A43" s="28"/>
      <c r="B43" s="29"/>
      <c r="C43" s="30" t="str">
        <f>IF(B43="","",VLOOKUP($A$1,货源一览!B:G,6))</f>
        <v/>
      </c>
      <c r="D43" s="31" t="str">
        <f>IF(B43="","",VLOOKUP($A$1,货源一览!B:H,7))</f>
        <v/>
      </c>
      <c r="E43" s="32"/>
      <c r="F43" s="33" t="str">
        <f>IF(E43="","",VLOOKUP($A$1,目录!B:E,4))</f>
        <v/>
      </c>
      <c r="G43" s="31" t="str">
        <f t="shared" si="1"/>
        <v/>
      </c>
    </row>
    <row r="44" spans="1:7">
      <c r="A44" s="28"/>
      <c r="B44" s="29"/>
      <c r="C44" s="30" t="str">
        <f>IF(B44="","",VLOOKUP($A$1,货源一览!B:G,6))</f>
        <v/>
      </c>
      <c r="D44" s="31" t="str">
        <f>IF(B44="","",VLOOKUP($A$1,货源一览!B:H,7))</f>
        <v/>
      </c>
      <c r="E44" s="32"/>
      <c r="F44" s="33" t="str">
        <f>IF(E44="","",VLOOKUP($A$1,目录!B:E,4))</f>
        <v/>
      </c>
      <c r="G44" s="31" t="str">
        <f t="shared" si="1"/>
        <v/>
      </c>
    </row>
    <row r="45" spans="1:7">
      <c r="A45" s="28"/>
      <c r="B45" s="29"/>
      <c r="C45" s="30" t="str">
        <f>IF(B45="","",VLOOKUP($A$1,货源一览!B:G,6))</f>
        <v/>
      </c>
      <c r="D45" s="31" t="str">
        <f>IF(B45="","",VLOOKUP($A$1,货源一览!B:H,7))</f>
        <v/>
      </c>
      <c r="E45" s="32"/>
      <c r="F45" s="33" t="str">
        <f>IF(E45="","",VLOOKUP($A$1,目录!B:E,4))</f>
        <v/>
      </c>
      <c r="G45" s="31" t="str">
        <f t="shared" si="1"/>
        <v/>
      </c>
    </row>
    <row r="46" spans="1:7">
      <c r="A46" s="28"/>
      <c r="B46" s="29"/>
      <c r="C46" s="30" t="str">
        <f>IF(B46="","",VLOOKUP($A$1,货源一览!B:G,6))</f>
        <v/>
      </c>
      <c r="D46" s="31" t="str">
        <f>IF(B46="","",VLOOKUP($A$1,货源一览!B:H,7))</f>
        <v/>
      </c>
      <c r="E46" s="32"/>
      <c r="F46" s="33" t="str">
        <f>IF(E46="","",VLOOKUP($A$1,目录!B:E,4))</f>
        <v/>
      </c>
      <c r="G46" s="31" t="str">
        <f t="shared" si="1"/>
        <v/>
      </c>
    </row>
    <row r="47" spans="1:7">
      <c r="A47" s="28"/>
      <c r="B47" s="29"/>
      <c r="C47" s="30" t="str">
        <f>IF(B47="","",VLOOKUP($A$1,货源一览!B:G,6))</f>
        <v/>
      </c>
      <c r="D47" s="31" t="str">
        <f>IF(B47="","",VLOOKUP($A$1,货源一览!B:H,7))</f>
        <v/>
      </c>
      <c r="E47" s="32"/>
      <c r="F47" s="33" t="str">
        <f>IF(E47="","",VLOOKUP($A$1,目录!B:E,4))</f>
        <v/>
      </c>
      <c r="G47" s="31" t="str">
        <f t="shared" si="1"/>
        <v/>
      </c>
    </row>
    <row r="48" spans="1:7">
      <c r="A48" s="28"/>
      <c r="B48" s="29"/>
      <c r="C48" s="30" t="str">
        <f>IF(B48="","",VLOOKUP($A$1,货源一览!B:G,6))</f>
        <v/>
      </c>
      <c r="D48" s="31" t="str">
        <f>IF(B48="","",VLOOKUP($A$1,货源一览!B:H,7))</f>
        <v/>
      </c>
      <c r="E48" s="32"/>
      <c r="F48" s="33" t="str">
        <f>IF(E48="","",VLOOKUP($A$1,目录!B:E,4))</f>
        <v/>
      </c>
      <c r="G48" s="31" t="str">
        <f t="shared" si="1"/>
        <v/>
      </c>
    </row>
    <row r="49" spans="1:7">
      <c r="A49" s="28"/>
      <c r="B49" s="29"/>
      <c r="C49" s="30" t="str">
        <f>IF(B49="","",VLOOKUP($A$1,货源一览!B:G,6))</f>
        <v/>
      </c>
      <c r="D49" s="31" t="str">
        <f>IF(B49="","",VLOOKUP($A$1,货源一览!B:H,7))</f>
        <v/>
      </c>
      <c r="E49" s="32"/>
      <c r="F49" s="33" t="str">
        <f>IF(E49="","",VLOOKUP($A$1,目录!B:E,4))</f>
        <v/>
      </c>
      <c r="G49" s="31" t="str">
        <f t="shared" si="1"/>
        <v/>
      </c>
    </row>
    <row r="50" spans="1:7">
      <c r="A50" s="28"/>
      <c r="B50" s="29"/>
      <c r="C50" s="30" t="str">
        <f>IF(B50="","",VLOOKUP($A$1,货源一览!B:G,6))</f>
        <v/>
      </c>
      <c r="D50" s="31" t="str">
        <f>IF(B50="","",VLOOKUP($A$1,货源一览!B:H,7))</f>
        <v/>
      </c>
      <c r="E50" s="32"/>
      <c r="F50" s="33" t="str">
        <f>IF(E50="","",VLOOKUP($A$1,目录!B:E,4))</f>
        <v/>
      </c>
      <c r="G50" s="31" t="str">
        <f t="shared" si="1"/>
        <v/>
      </c>
    </row>
    <row r="51" spans="1:7">
      <c r="A51" s="28"/>
      <c r="B51" s="29"/>
      <c r="C51" s="30" t="str">
        <f>IF(B51="","",VLOOKUP($A$1,货源一览!B:G,6))</f>
        <v/>
      </c>
      <c r="D51" s="31" t="str">
        <f>IF(B51="","",VLOOKUP($A$1,货源一览!B:H,7))</f>
        <v/>
      </c>
      <c r="E51" s="32"/>
      <c r="F51" s="33" t="str">
        <f>IF(E51="","",VLOOKUP($A$1,目录!B:E,4))</f>
        <v/>
      </c>
      <c r="G51" s="31" t="str">
        <f t="shared" si="1"/>
        <v/>
      </c>
    </row>
    <row r="52" spans="1:7">
      <c r="A52" s="28"/>
      <c r="B52" s="29"/>
      <c r="C52" s="30" t="str">
        <f>IF(B52="","",VLOOKUP($A$1,货源一览!B:G,6))</f>
        <v/>
      </c>
      <c r="D52" s="31" t="str">
        <f>IF(B52="","",VLOOKUP($A$1,货源一览!B:H,7))</f>
        <v/>
      </c>
      <c r="E52" s="32"/>
      <c r="F52" s="33" t="str">
        <f>IF(E52="","",VLOOKUP($A$1,目录!B:E,4))</f>
        <v/>
      </c>
      <c r="G52" s="31" t="str">
        <f t="shared" si="1"/>
        <v/>
      </c>
    </row>
    <row r="53" spans="1:7">
      <c r="A53" s="28"/>
      <c r="B53" s="29"/>
      <c r="C53" s="30" t="str">
        <f>IF(B53="","",VLOOKUP($A$1,货源一览!B:G,6))</f>
        <v/>
      </c>
      <c r="D53" s="31" t="str">
        <f>IF(B53="","",VLOOKUP($A$1,货源一览!B:H,7))</f>
        <v/>
      </c>
      <c r="E53" s="32"/>
      <c r="F53" s="33" t="str">
        <f>IF(E53="","",VLOOKUP($A$1,目录!B:E,4))</f>
        <v/>
      </c>
      <c r="G53" s="31" t="str">
        <f t="shared" si="1"/>
        <v/>
      </c>
    </row>
    <row r="54" spans="1:7" ht="14.25" thickBot="1">
      <c r="A54" s="65"/>
      <c r="B54" s="67"/>
      <c r="C54" s="68" t="str">
        <f>IF(B54="","",VLOOKUP($A$1,货源一览!B:G,6))</f>
        <v/>
      </c>
      <c r="D54" s="66" t="str">
        <f>IF(B54="","",VLOOKUP($A$1,货源一览!B:H,7))</f>
        <v/>
      </c>
      <c r="E54" s="69"/>
      <c r="F54" s="70" t="str">
        <f>IF(E54="","",VLOOKUP($A$1,目录!B:E,4))</f>
        <v/>
      </c>
      <c r="G54" s="66" t="str">
        <f t="shared" si="1"/>
        <v/>
      </c>
    </row>
  </sheetData>
  <sheetCalcPr fullCalcOnLoad="1"/>
  <phoneticPr fontId="2"/>
  <dataValidations count="1">
    <dataValidation type="list" allowBlank="1" showInputMessage="1" showErrorMessage="1" sqref="C4:C54">
      <formula1>得意先コード</formula1>
    </dataValidation>
  </dataValidations>
  <hyperlinks>
    <hyperlink ref="G1" location="目录!A1" display="目次へ"/>
  </hyperlinks>
  <printOptions horizontalCentered="1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showGridLines="0" workbookViewId="0"/>
  </sheetViews>
  <sheetFormatPr defaultRowHeight="13.5"/>
  <cols>
    <col min="1" max="1" width="1.75" customWidth="1"/>
    <col min="2" max="2" width="8.625" bestFit="1" customWidth="1"/>
    <col min="3" max="3" width="26.25" customWidth="1"/>
    <col min="4" max="4" width="9.625" bestFit="1" customWidth="1"/>
    <col min="5" max="6" width="5.375" bestFit="1" customWidth="1"/>
    <col min="7" max="7" width="10.25" bestFit="1" customWidth="1"/>
    <col min="8" max="8" width="13.125" bestFit="1" customWidth="1"/>
    <col min="9" max="9" width="8.625" style="1" bestFit="1" customWidth="1"/>
    <col min="10" max="10" width="12.25" style="1" bestFit="1" customWidth="1"/>
    <col min="17" max="17" width="27" bestFit="1" customWidth="1"/>
  </cols>
  <sheetData>
    <row r="1" spans="1:10" ht="14.25" thickBot="1">
      <c r="A1" s="3"/>
      <c r="B1" s="4" t="s">
        <v>33</v>
      </c>
      <c r="C1" s="5" t="s">
        <v>34</v>
      </c>
      <c r="D1" s="6" t="s">
        <v>16</v>
      </c>
      <c r="E1" s="6" t="s">
        <v>5</v>
      </c>
      <c r="F1" s="6" t="s">
        <v>6</v>
      </c>
      <c r="G1" s="5" t="s">
        <v>17</v>
      </c>
      <c r="H1" s="5" t="s">
        <v>13</v>
      </c>
      <c r="I1" s="5" t="s">
        <v>18</v>
      </c>
      <c r="J1" s="21" t="s">
        <v>19</v>
      </c>
    </row>
    <row r="2" spans="1:10">
      <c r="A2" s="34"/>
      <c r="B2" s="9" t="s">
        <v>7</v>
      </c>
      <c r="C2" s="51" t="s">
        <v>22</v>
      </c>
      <c r="D2" s="10">
        <v>500</v>
      </c>
      <c r="E2" s="10">
        <v>250</v>
      </c>
      <c r="F2" s="10">
        <v>125</v>
      </c>
      <c r="G2" s="35">
        <v>10</v>
      </c>
      <c r="H2" s="51" t="s">
        <v>26</v>
      </c>
      <c r="I2" s="52" t="s">
        <v>27</v>
      </c>
      <c r="J2" s="53" t="s">
        <v>29</v>
      </c>
    </row>
    <row r="3" spans="1:10">
      <c r="A3" s="34"/>
      <c r="B3" s="12" t="s">
        <v>0</v>
      </c>
      <c r="C3" s="13" t="s">
        <v>23</v>
      </c>
      <c r="D3" s="14">
        <v>500</v>
      </c>
      <c r="E3" s="14">
        <v>200</v>
      </c>
      <c r="F3" s="14">
        <v>100</v>
      </c>
      <c r="G3" s="36">
        <v>20</v>
      </c>
      <c r="H3" s="13" t="s">
        <v>30</v>
      </c>
      <c r="I3" s="37" t="s">
        <v>28</v>
      </c>
      <c r="J3" s="38" t="s">
        <v>29</v>
      </c>
    </row>
    <row r="4" spans="1:10">
      <c r="A4" s="34"/>
      <c r="B4" s="12"/>
      <c r="C4" s="13"/>
      <c r="D4" s="14"/>
      <c r="E4" s="14"/>
      <c r="F4" s="14">
        <f t="shared" ref="F4:F46" si="0">E4*0.7</f>
        <v>0</v>
      </c>
      <c r="G4" s="36"/>
      <c r="H4" s="13"/>
      <c r="I4" s="37"/>
      <c r="J4" s="38"/>
    </row>
    <row r="5" spans="1:10">
      <c r="A5" s="34"/>
      <c r="B5" s="12"/>
      <c r="C5" s="13"/>
      <c r="D5" s="14"/>
      <c r="E5" s="14"/>
      <c r="F5" s="14">
        <f t="shared" si="0"/>
        <v>0</v>
      </c>
      <c r="G5" s="36"/>
      <c r="H5" s="13"/>
      <c r="I5" s="37"/>
      <c r="J5" s="38"/>
    </row>
    <row r="6" spans="1:10">
      <c r="A6" s="34"/>
      <c r="B6" s="12"/>
      <c r="C6" s="13"/>
      <c r="D6" s="14"/>
      <c r="E6" s="14"/>
      <c r="F6" s="14">
        <f t="shared" si="0"/>
        <v>0</v>
      </c>
      <c r="G6" s="36"/>
      <c r="H6" s="13"/>
      <c r="I6" s="37"/>
      <c r="J6" s="38"/>
    </row>
    <row r="7" spans="1:10">
      <c r="A7" s="34"/>
      <c r="B7" s="12"/>
      <c r="C7" s="13"/>
      <c r="D7" s="14"/>
      <c r="E7" s="14"/>
      <c r="F7" s="14">
        <f t="shared" si="0"/>
        <v>0</v>
      </c>
      <c r="G7" s="36"/>
      <c r="H7" s="13"/>
      <c r="I7" s="37"/>
      <c r="J7" s="38"/>
    </row>
    <row r="8" spans="1:10">
      <c r="A8" s="34"/>
      <c r="B8" s="12"/>
      <c r="C8" s="13"/>
      <c r="D8" s="14"/>
      <c r="E8" s="14"/>
      <c r="F8" s="14">
        <f t="shared" si="0"/>
        <v>0</v>
      </c>
      <c r="G8" s="36"/>
      <c r="H8" s="13"/>
      <c r="I8" s="37"/>
      <c r="J8" s="38"/>
    </row>
    <row r="9" spans="1:10">
      <c r="A9" s="34"/>
      <c r="B9" s="12"/>
      <c r="C9" s="13"/>
      <c r="D9" s="14"/>
      <c r="E9" s="14"/>
      <c r="F9" s="14">
        <f t="shared" si="0"/>
        <v>0</v>
      </c>
      <c r="G9" s="36"/>
      <c r="H9" s="13"/>
      <c r="I9" s="37"/>
      <c r="J9" s="38"/>
    </row>
    <row r="10" spans="1:10">
      <c r="A10" s="34"/>
      <c r="B10" s="12"/>
      <c r="C10" s="13"/>
      <c r="D10" s="14"/>
      <c r="E10" s="14"/>
      <c r="F10" s="14">
        <f t="shared" si="0"/>
        <v>0</v>
      </c>
      <c r="G10" s="36"/>
      <c r="H10" s="13"/>
      <c r="I10" s="37"/>
      <c r="J10" s="38"/>
    </row>
    <row r="11" spans="1:10">
      <c r="A11" s="34"/>
      <c r="B11" s="12"/>
      <c r="C11" s="13"/>
      <c r="D11" s="14"/>
      <c r="E11" s="14"/>
      <c r="F11" s="14">
        <f t="shared" si="0"/>
        <v>0</v>
      </c>
      <c r="G11" s="36"/>
      <c r="H11" s="13"/>
      <c r="I11" s="37"/>
      <c r="J11" s="38"/>
    </row>
    <row r="12" spans="1:10">
      <c r="A12" s="34"/>
      <c r="B12" s="12"/>
      <c r="C12" s="13"/>
      <c r="D12" s="14"/>
      <c r="E12" s="14"/>
      <c r="F12" s="14">
        <f t="shared" si="0"/>
        <v>0</v>
      </c>
      <c r="G12" s="36"/>
      <c r="H12" s="13"/>
      <c r="I12" s="37"/>
      <c r="J12" s="38"/>
    </row>
    <row r="13" spans="1:10">
      <c r="A13" s="34"/>
      <c r="B13" s="12"/>
      <c r="C13" s="13"/>
      <c r="D13" s="14"/>
      <c r="E13" s="14"/>
      <c r="F13" s="14">
        <f t="shared" si="0"/>
        <v>0</v>
      </c>
      <c r="G13" s="36"/>
      <c r="H13" s="13"/>
      <c r="I13" s="37"/>
      <c r="J13" s="38"/>
    </row>
    <row r="14" spans="1:10">
      <c r="A14" s="34"/>
      <c r="B14" s="12"/>
      <c r="C14" s="13"/>
      <c r="D14" s="14"/>
      <c r="E14" s="14"/>
      <c r="F14" s="14">
        <f t="shared" si="0"/>
        <v>0</v>
      </c>
      <c r="G14" s="36"/>
      <c r="H14" s="13"/>
      <c r="I14" s="37"/>
      <c r="J14" s="38"/>
    </row>
    <row r="15" spans="1:10">
      <c r="A15" s="34"/>
      <c r="B15" s="12"/>
      <c r="C15" s="13"/>
      <c r="D15" s="14"/>
      <c r="E15" s="14"/>
      <c r="F15" s="14">
        <f t="shared" si="0"/>
        <v>0</v>
      </c>
      <c r="G15" s="36"/>
      <c r="H15" s="13"/>
      <c r="I15" s="37"/>
      <c r="J15" s="38"/>
    </row>
    <row r="16" spans="1:10">
      <c r="A16" s="34"/>
      <c r="B16" s="12"/>
      <c r="C16" s="13"/>
      <c r="D16" s="14"/>
      <c r="E16" s="14"/>
      <c r="F16" s="14">
        <f t="shared" si="0"/>
        <v>0</v>
      </c>
      <c r="G16" s="36"/>
      <c r="H16" s="13"/>
      <c r="I16" s="37"/>
      <c r="J16" s="38"/>
    </row>
    <row r="17" spans="1:10">
      <c r="A17" s="34"/>
      <c r="B17" s="12"/>
      <c r="C17" s="13"/>
      <c r="D17" s="14"/>
      <c r="E17" s="14"/>
      <c r="F17" s="14">
        <f t="shared" si="0"/>
        <v>0</v>
      </c>
      <c r="G17" s="36"/>
      <c r="H17" s="13"/>
      <c r="I17" s="37"/>
      <c r="J17" s="38"/>
    </row>
    <row r="18" spans="1:10">
      <c r="A18" s="34"/>
      <c r="B18" s="12"/>
      <c r="C18" s="13"/>
      <c r="D18" s="14"/>
      <c r="E18" s="14"/>
      <c r="F18" s="14">
        <f t="shared" si="0"/>
        <v>0</v>
      </c>
      <c r="G18" s="36"/>
      <c r="H18" s="13"/>
      <c r="I18" s="37"/>
      <c r="J18" s="38"/>
    </row>
    <row r="19" spans="1:10">
      <c r="A19" s="34"/>
      <c r="B19" s="12"/>
      <c r="C19" s="13"/>
      <c r="D19" s="14"/>
      <c r="E19" s="14"/>
      <c r="F19" s="14">
        <f t="shared" si="0"/>
        <v>0</v>
      </c>
      <c r="G19" s="36"/>
      <c r="H19" s="13"/>
      <c r="I19" s="37"/>
      <c r="J19" s="38"/>
    </row>
    <row r="20" spans="1:10">
      <c r="A20" s="34"/>
      <c r="B20" s="12"/>
      <c r="C20" s="13"/>
      <c r="D20" s="14"/>
      <c r="E20" s="14"/>
      <c r="F20" s="14">
        <f t="shared" si="0"/>
        <v>0</v>
      </c>
      <c r="G20" s="36"/>
      <c r="H20" s="13"/>
      <c r="I20" s="37"/>
      <c r="J20" s="38"/>
    </row>
    <row r="21" spans="1:10">
      <c r="A21" s="34"/>
      <c r="B21" s="12"/>
      <c r="C21" s="13"/>
      <c r="D21" s="14"/>
      <c r="E21" s="14"/>
      <c r="F21" s="14">
        <f t="shared" si="0"/>
        <v>0</v>
      </c>
      <c r="G21" s="36"/>
      <c r="H21" s="13"/>
      <c r="I21" s="37"/>
      <c r="J21" s="38"/>
    </row>
    <row r="22" spans="1:10">
      <c r="A22" s="34"/>
      <c r="B22" s="12"/>
      <c r="C22" s="13"/>
      <c r="D22" s="14"/>
      <c r="E22" s="14"/>
      <c r="F22" s="14">
        <f t="shared" si="0"/>
        <v>0</v>
      </c>
      <c r="G22" s="36"/>
      <c r="H22" s="13"/>
      <c r="I22" s="37"/>
      <c r="J22" s="38"/>
    </row>
    <row r="23" spans="1:10">
      <c r="A23" s="34"/>
      <c r="B23" s="12"/>
      <c r="C23" s="13"/>
      <c r="D23" s="14"/>
      <c r="E23" s="14"/>
      <c r="F23" s="14">
        <f t="shared" si="0"/>
        <v>0</v>
      </c>
      <c r="G23" s="36"/>
      <c r="H23" s="13"/>
      <c r="I23" s="37"/>
      <c r="J23" s="38"/>
    </row>
    <row r="24" spans="1:10">
      <c r="A24" s="34"/>
      <c r="B24" s="12"/>
      <c r="C24" s="13"/>
      <c r="D24" s="14"/>
      <c r="E24" s="14"/>
      <c r="F24" s="14">
        <f t="shared" si="0"/>
        <v>0</v>
      </c>
      <c r="G24" s="36"/>
      <c r="H24" s="13"/>
      <c r="I24" s="37"/>
      <c r="J24" s="38"/>
    </row>
    <row r="25" spans="1:10" ht="13.5" customHeight="1">
      <c r="A25" s="34"/>
      <c r="B25" s="12"/>
      <c r="C25" s="13"/>
      <c r="D25" s="14"/>
      <c r="E25" s="14"/>
      <c r="F25" s="14">
        <f t="shared" si="0"/>
        <v>0</v>
      </c>
      <c r="G25" s="36"/>
      <c r="H25" s="13"/>
      <c r="I25" s="37"/>
      <c r="J25" s="38"/>
    </row>
    <row r="26" spans="1:10" ht="14.25" customHeight="1">
      <c r="A26" s="34"/>
      <c r="B26" s="12"/>
      <c r="C26" s="13"/>
      <c r="D26" s="14"/>
      <c r="E26" s="14"/>
      <c r="F26" s="14">
        <f t="shared" si="0"/>
        <v>0</v>
      </c>
      <c r="G26" s="36"/>
      <c r="H26" s="13"/>
      <c r="I26" s="37"/>
      <c r="J26" s="38"/>
    </row>
    <row r="27" spans="1:10" ht="13.5" customHeight="1">
      <c r="A27" s="34"/>
      <c r="B27" s="12"/>
      <c r="C27" s="13"/>
      <c r="D27" s="14"/>
      <c r="E27" s="14"/>
      <c r="F27" s="14">
        <f t="shared" si="0"/>
        <v>0</v>
      </c>
      <c r="G27" s="36"/>
      <c r="H27" s="13"/>
      <c r="I27" s="37"/>
      <c r="J27" s="38"/>
    </row>
    <row r="28" spans="1:10" ht="14.25" customHeight="1">
      <c r="A28" s="34"/>
      <c r="B28" s="12"/>
      <c r="C28" s="13"/>
      <c r="D28" s="14"/>
      <c r="E28" s="14"/>
      <c r="F28" s="14">
        <f t="shared" si="0"/>
        <v>0</v>
      </c>
      <c r="G28" s="36"/>
      <c r="H28" s="13"/>
      <c r="I28" s="37"/>
      <c r="J28" s="38"/>
    </row>
    <row r="29" spans="1:10" ht="14.25" customHeight="1">
      <c r="A29" s="34"/>
      <c r="B29" s="12"/>
      <c r="C29" s="13"/>
      <c r="D29" s="14"/>
      <c r="E29" s="14"/>
      <c r="F29" s="14">
        <f t="shared" si="0"/>
        <v>0</v>
      </c>
      <c r="G29" s="36"/>
      <c r="H29" s="13"/>
      <c r="I29" s="37"/>
      <c r="J29" s="38"/>
    </row>
    <row r="30" spans="1:10">
      <c r="A30" s="34"/>
      <c r="B30" s="12"/>
      <c r="C30" s="13"/>
      <c r="D30" s="14"/>
      <c r="E30" s="14"/>
      <c r="F30" s="14">
        <f t="shared" si="0"/>
        <v>0</v>
      </c>
      <c r="G30" s="36"/>
      <c r="H30" s="13"/>
      <c r="I30" s="37"/>
      <c r="J30" s="38"/>
    </row>
    <row r="31" spans="1:10">
      <c r="A31" s="34"/>
      <c r="B31" s="12"/>
      <c r="C31" s="13"/>
      <c r="D31" s="14"/>
      <c r="E31" s="14"/>
      <c r="F31" s="14">
        <f t="shared" si="0"/>
        <v>0</v>
      </c>
      <c r="G31" s="36"/>
      <c r="H31" s="13"/>
      <c r="I31" s="37"/>
      <c r="J31" s="38"/>
    </row>
    <row r="32" spans="1:10">
      <c r="A32" s="34"/>
      <c r="B32" s="12"/>
      <c r="C32" s="13"/>
      <c r="D32" s="14"/>
      <c r="E32" s="14"/>
      <c r="F32" s="14">
        <f t="shared" si="0"/>
        <v>0</v>
      </c>
      <c r="G32" s="36"/>
      <c r="H32" s="13"/>
      <c r="I32" s="37"/>
      <c r="J32" s="38"/>
    </row>
    <row r="33" spans="1:10">
      <c r="A33" s="34"/>
      <c r="B33" s="12"/>
      <c r="C33" s="13"/>
      <c r="D33" s="14"/>
      <c r="E33" s="14"/>
      <c r="F33" s="14">
        <f t="shared" si="0"/>
        <v>0</v>
      </c>
      <c r="G33" s="36"/>
      <c r="H33" s="13"/>
      <c r="I33" s="37"/>
      <c r="J33" s="38"/>
    </row>
    <row r="34" spans="1:10">
      <c r="A34" s="34"/>
      <c r="B34" s="12"/>
      <c r="C34" s="13"/>
      <c r="D34" s="14"/>
      <c r="E34" s="14"/>
      <c r="F34" s="14">
        <f t="shared" si="0"/>
        <v>0</v>
      </c>
      <c r="G34" s="36"/>
      <c r="H34" s="13"/>
      <c r="I34" s="37"/>
      <c r="J34" s="38"/>
    </row>
    <row r="35" spans="1:10">
      <c r="A35" s="34"/>
      <c r="B35" s="12"/>
      <c r="C35" s="13"/>
      <c r="D35" s="14"/>
      <c r="E35" s="14"/>
      <c r="F35" s="14">
        <f t="shared" si="0"/>
        <v>0</v>
      </c>
      <c r="G35" s="36"/>
      <c r="H35" s="13"/>
      <c r="I35" s="37"/>
      <c r="J35" s="38"/>
    </row>
    <row r="36" spans="1:10">
      <c r="A36" s="34"/>
      <c r="B36" s="12"/>
      <c r="C36" s="13"/>
      <c r="D36" s="14"/>
      <c r="E36" s="14"/>
      <c r="F36" s="14">
        <f t="shared" si="0"/>
        <v>0</v>
      </c>
      <c r="G36" s="36"/>
      <c r="H36" s="13"/>
      <c r="I36" s="37"/>
      <c r="J36" s="38"/>
    </row>
    <row r="37" spans="1:10">
      <c r="A37" s="34"/>
      <c r="B37" s="12"/>
      <c r="C37" s="13"/>
      <c r="D37" s="14"/>
      <c r="E37" s="14"/>
      <c r="F37" s="14">
        <f t="shared" si="0"/>
        <v>0</v>
      </c>
      <c r="G37" s="36"/>
      <c r="H37" s="13"/>
      <c r="I37" s="37"/>
      <c r="J37" s="38"/>
    </row>
    <row r="38" spans="1:10">
      <c r="A38" s="34"/>
      <c r="B38" s="12"/>
      <c r="C38" s="13"/>
      <c r="D38" s="14"/>
      <c r="E38" s="14"/>
      <c r="F38" s="14">
        <f t="shared" si="0"/>
        <v>0</v>
      </c>
      <c r="G38" s="36"/>
      <c r="H38" s="13"/>
      <c r="I38" s="37"/>
      <c r="J38" s="38"/>
    </row>
    <row r="39" spans="1:10">
      <c r="A39" s="34"/>
      <c r="B39" s="12"/>
      <c r="C39" s="13"/>
      <c r="D39" s="14"/>
      <c r="E39" s="14"/>
      <c r="F39" s="14">
        <f t="shared" si="0"/>
        <v>0</v>
      </c>
      <c r="G39" s="36"/>
      <c r="H39" s="13"/>
      <c r="I39" s="37"/>
      <c r="J39" s="38"/>
    </row>
    <row r="40" spans="1:10">
      <c r="A40" s="34"/>
      <c r="B40" s="12"/>
      <c r="C40" s="13"/>
      <c r="D40" s="14"/>
      <c r="E40" s="14"/>
      <c r="F40" s="14">
        <f t="shared" si="0"/>
        <v>0</v>
      </c>
      <c r="G40" s="36"/>
      <c r="H40" s="13"/>
      <c r="I40" s="37"/>
      <c r="J40" s="38"/>
    </row>
    <row r="41" spans="1:10">
      <c r="A41" s="34"/>
      <c r="B41" s="12"/>
      <c r="C41" s="13"/>
      <c r="D41" s="14"/>
      <c r="E41" s="14"/>
      <c r="F41" s="14">
        <f t="shared" si="0"/>
        <v>0</v>
      </c>
      <c r="G41" s="36"/>
      <c r="H41" s="13"/>
      <c r="I41" s="37"/>
      <c r="J41" s="38"/>
    </row>
    <row r="42" spans="1:10">
      <c r="A42" s="34"/>
      <c r="B42" s="12"/>
      <c r="C42" s="13"/>
      <c r="D42" s="14"/>
      <c r="E42" s="14"/>
      <c r="F42" s="14">
        <f t="shared" si="0"/>
        <v>0</v>
      </c>
      <c r="G42" s="36"/>
      <c r="H42" s="13"/>
      <c r="I42" s="37"/>
      <c r="J42" s="38"/>
    </row>
    <row r="43" spans="1:10">
      <c r="A43" s="34"/>
      <c r="B43" s="12"/>
      <c r="C43" s="13"/>
      <c r="D43" s="14"/>
      <c r="E43" s="14"/>
      <c r="F43" s="14">
        <f t="shared" si="0"/>
        <v>0</v>
      </c>
      <c r="G43" s="36"/>
      <c r="H43" s="13"/>
      <c r="I43" s="37"/>
      <c r="J43" s="38"/>
    </row>
    <row r="44" spans="1:10">
      <c r="A44" s="34"/>
      <c r="B44" s="12"/>
      <c r="C44" s="13"/>
      <c r="D44" s="14"/>
      <c r="E44" s="14"/>
      <c r="F44" s="14">
        <f t="shared" si="0"/>
        <v>0</v>
      </c>
      <c r="G44" s="36"/>
      <c r="H44" s="13"/>
      <c r="I44" s="37"/>
      <c r="J44" s="38"/>
    </row>
    <row r="45" spans="1:10">
      <c r="A45" s="34"/>
      <c r="B45" s="12"/>
      <c r="C45" s="13"/>
      <c r="D45" s="14"/>
      <c r="E45" s="14"/>
      <c r="F45" s="14">
        <f t="shared" si="0"/>
        <v>0</v>
      </c>
      <c r="G45" s="36"/>
      <c r="H45" s="13"/>
      <c r="I45" s="37"/>
      <c r="J45" s="38"/>
    </row>
    <row r="46" spans="1:10" ht="14.25" thickBot="1">
      <c r="A46" s="34"/>
      <c r="B46" s="39"/>
      <c r="C46" s="40"/>
      <c r="D46" s="41"/>
      <c r="E46" s="41"/>
      <c r="F46" s="41">
        <f t="shared" si="0"/>
        <v>0</v>
      </c>
      <c r="G46" s="42"/>
      <c r="H46" s="40"/>
      <c r="I46" s="43"/>
      <c r="J46" s="44"/>
    </row>
  </sheetData>
  <phoneticPr fontId="2"/>
  <pageMargins left="0.27559055118110237" right="0.27559055118110237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8</vt:i4>
      </vt:variant>
    </vt:vector>
  </HeadingPairs>
  <TitlesOfParts>
    <vt:vector size="12" baseType="lpstr">
      <vt:lpstr>目录</vt:lpstr>
      <vt:lpstr>雀巢咖啡</vt:lpstr>
      <vt:lpstr>青岛啤酒</vt:lpstr>
      <vt:lpstr>货源一览</vt:lpstr>
      <vt:lpstr>货源一览!Print_Area</vt:lpstr>
      <vt:lpstr>目录!Print_Area</vt:lpstr>
      <vt:lpstr>青岛啤酒!Print_Area</vt:lpstr>
      <vt:lpstr>雀巢咖啡!Print_Area</vt:lpstr>
      <vt:lpstr>货源一览!商品コード</vt:lpstr>
      <vt:lpstr>商品コード</vt:lpstr>
      <vt:lpstr>货源一览!商品一覧</vt:lpstr>
      <vt:lpstr>商品一覧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2003-06-09T05:27:16Z</cp:lastPrinted>
  <dcterms:created xsi:type="dcterms:W3CDTF">2003-03-19T15:00:00Z</dcterms:created>
  <dcterms:modified xsi:type="dcterms:W3CDTF">2012-06-27T06:50:30Z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TC012335132052</vt:lpwstr>
  </property>
</Properties>
</file>