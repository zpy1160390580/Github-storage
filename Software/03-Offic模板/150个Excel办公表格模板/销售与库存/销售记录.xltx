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/>
  <bookViews>
    <workbookView xWindow="1095" yWindow="735" windowWidth="12390" windowHeight="9165"/>
  </bookViews>
  <sheets>
    <sheet name="目录" sheetId="2" r:id="rId1"/>
    <sheet name="带鱼" sheetId="1" r:id="rId2"/>
    <sheet name="葡萄干" sheetId="5" r:id="rId3"/>
    <sheet name="客户一览表" sheetId="4" r:id="rId4"/>
  </sheets>
  <definedNames>
    <definedName name="_xlnm.Print_Area" localSheetId="3">客户一览表!#REF!</definedName>
    <definedName name="_xlnm.Print_Area" localSheetId="0">目录!$B$1:$F$46</definedName>
    <definedName name="得意先コード">客户一览表!$B$1:$B$21</definedName>
    <definedName name="得意先一覧">客户一览表!$B$1:$E$21</definedName>
    <definedName name="商品コード" localSheetId="3">客户一览表!$B$2:$B$21</definedName>
    <definedName name="商品コード">目录!$B$2:$B$46</definedName>
    <definedName name="商品一覧" localSheetId="3">客户一览表!$B$1:$E$21</definedName>
    <definedName name="商品一覧">目录!$B$1:$F$46</definedName>
  </definedNames>
  <calcPr calcId="145621"/>
</workbook>
</file>

<file path=xl/calcChain.xml><?xml version="1.0" encoding="utf-8"?>
<calcChain xmlns="http://schemas.openxmlformats.org/spreadsheetml/2006/main">
  <c r="F54" i="1" l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4" i="1"/>
  <c r="G5" i="1"/>
  <c r="D4" i="5"/>
  <c r="D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4" i="5"/>
  <c r="F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4" i="5"/>
  <c r="G5" i="5"/>
</calcChain>
</file>

<file path=xl/sharedStrings.xml><?xml version="1.0" encoding="utf-8"?>
<sst xmlns="http://schemas.openxmlformats.org/spreadsheetml/2006/main" count="58" uniqueCount="41">
  <si>
    <t>000-02</t>
    <phoneticPr fontId="2"/>
  </si>
  <si>
    <t>标准库存数</t>
    <phoneticPr fontId="2"/>
  </si>
  <si>
    <t>单价</t>
    <phoneticPr fontId="2"/>
  </si>
  <si>
    <t>成本</t>
    <phoneticPr fontId="2"/>
  </si>
  <si>
    <t>000-01</t>
    <phoneticPr fontId="2"/>
  </si>
  <si>
    <t xml:space="preserve">① </t>
    <phoneticPr fontId="2"/>
  </si>
  <si>
    <t xml:space="preserve">② 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</si>
  <si>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</si>
  <si>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</si>
  <si>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</si>
  <si>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</si>
  <si>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回目录</t>
    <phoneticPr fontId="2"/>
  </si>
  <si>
    <t>单据号码</t>
    <phoneticPr fontId="2"/>
  </si>
  <si>
    <t>订货日期</t>
    <phoneticPr fontId="2"/>
  </si>
  <si>
    <t>数量</t>
    <phoneticPr fontId="2"/>
  </si>
  <si>
    <t>销售额</t>
    <phoneticPr fontId="2"/>
  </si>
  <si>
    <t>负责人</t>
    <phoneticPr fontId="2"/>
  </si>
  <si>
    <t>电话号码</t>
    <phoneticPr fontId="2"/>
  </si>
  <si>
    <t>０xx－xxx－xxxx</t>
    <phoneticPr fontId="2"/>
  </si>
  <si>
    <r>
      <t xml:space="preserve"> </t>
    </r>
    <r>
      <rPr>
        <sz val="10"/>
        <rFont val="宋体"/>
        <family val="3"/>
        <charset val="134"/>
      </rPr>
      <t>在“链接到”中选择“本文档中的位置”。</t>
    </r>
    <phoneticPr fontId="2"/>
  </si>
  <si>
    <r>
      <t xml:space="preserve"> </t>
    </r>
    <r>
      <rPr>
        <sz val="10"/>
        <rFont val="宋体"/>
        <family val="3"/>
        <charset val="134"/>
      </rPr>
      <t>单击“确定”，关闭对话框。</t>
    </r>
    <phoneticPr fontId="2"/>
  </si>
  <si>
    <t>好邻居超市</t>
    <phoneticPr fontId="2"/>
  </si>
  <si>
    <t>玲珑市场</t>
    <phoneticPr fontId="2"/>
  </si>
  <si>
    <t>晓宏</t>
    <phoneticPr fontId="2"/>
  </si>
  <si>
    <t>丹丹</t>
    <phoneticPr fontId="2"/>
  </si>
  <si>
    <t>葡萄干</t>
    <phoneticPr fontId="2"/>
  </si>
  <si>
    <t>带鱼</t>
    <phoneticPr fontId="2"/>
  </si>
  <si>
    <t>请在没有背景色的单元格中输入值</t>
    <phoneticPr fontId="2"/>
  </si>
  <si>
    <t>请在没有背景色的单元格中输入值</t>
    <phoneticPr fontId="2"/>
  </si>
  <si>
    <t>↓单击“转至!”，可以转到相应的工作表。</t>
    <phoneticPr fontId="2"/>
  </si>
  <si>
    <r>
      <t>添加</t>
    </r>
    <r>
      <rPr>
        <b/>
        <sz val="10"/>
        <color indexed="10"/>
        <rFont val="Times New Roman"/>
        <family val="1"/>
      </rPr>
      <t>“</t>
    </r>
    <r>
      <rPr>
        <b/>
        <sz val="10"/>
        <color indexed="10"/>
        <rFont val="宋体"/>
        <family val="3"/>
        <charset val="134"/>
      </rPr>
      <t>转至</t>
    </r>
    <r>
      <rPr>
        <b/>
        <sz val="10"/>
        <color indexed="10"/>
        <rFont val="Times New Roman"/>
        <family val="1"/>
      </rPr>
      <t>!”</t>
    </r>
    <phoneticPr fontId="2"/>
  </si>
  <si>
    <r>
      <t xml:space="preserve"> </t>
    </r>
    <r>
      <rPr>
        <sz val="10"/>
        <rFont val="宋体"/>
        <family val="3"/>
        <charset val="134"/>
      </rPr>
      <t>单击需要添加“转至！”的单元格。</t>
    </r>
    <phoneticPr fontId="2"/>
  </si>
  <si>
    <r>
      <t xml:space="preserve"> </t>
    </r>
    <r>
      <rPr>
        <sz val="10"/>
        <rFont val="宋体"/>
        <family val="3"/>
        <charset val="134"/>
      </rPr>
      <t>在“要显示的文字”中，输入“转至</t>
    </r>
    <r>
      <rPr>
        <sz val="10"/>
        <rFont val="Times New Roman"/>
        <family val="1"/>
      </rPr>
      <t>!"</t>
    </r>
    <r>
      <rPr>
        <sz val="10"/>
        <rFont val="宋体"/>
        <family val="3"/>
        <charset val="134"/>
      </rPr>
      <t>。</t>
    </r>
    <phoneticPr fontId="2"/>
  </si>
  <si>
    <r>
      <t xml:space="preserve"> </t>
    </r>
    <r>
      <rPr>
        <sz val="10"/>
        <rFont val="宋体"/>
        <family val="3"/>
        <charset val="134"/>
      </rPr>
      <t>单击“超级链接”。</t>
    </r>
    <phoneticPr fontId="2"/>
  </si>
  <si>
    <r>
      <t xml:space="preserve"> </t>
    </r>
    <r>
      <rPr>
        <sz val="10"/>
        <rFont val="宋体"/>
        <family val="3"/>
        <charset val="134"/>
      </rPr>
      <t>在“或在这篇文档中选择位置”清单中，单击链接跳转目的地。</t>
    </r>
    <phoneticPr fontId="2"/>
  </si>
  <si>
    <r>
      <t>转至</t>
    </r>
    <r>
      <rPr>
        <u/>
        <sz val="11"/>
        <color indexed="12"/>
        <rFont val="ＭＳ Ｐゴシック"/>
        <family val="2"/>
      </rPr>
      <t>!</t>
    </r>
    <phoneticPr fontId="2"/>
  </si>
  <si>
    <t>商品代码</t>
  </si>
  <si>
    <t>商品名称</t>
  </si>
  <si>
    <r>
      <t xml:space="preserve"> </t>
    </r>
    <r>
      <rPr>
        <sz val="10"/>
        <rFont val="宋体"/>
        <family val="3"/>
        <charset val="134"/>
      </rPr>
      <t>此时屏幕上将显示“插入超级链接”对话框。</t>
    </r>
    <phoneticPr fontId="2"/>
  </si>
  <si>
    <t>客户代码</t>
    <phoneticPr fontId="2"/>
  </si>
  <si>
    <t>客户名称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</si>
</sst>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5" formatCode="&quot;￥&quot;#,##0;&quot;￥&quot;\-#,##0"/>
    <numFmt numFmtId="186" formatCode="00000"/>
    <numFmt numFmtId="187" formatCode="m/d"/>
  </numFmts>
  <fonts count="15">
    <font>
      <sz val="11"/>
      <name val="ＭＳ Ｐゴシック"/>
      <family val="2"/>
    </font>
    <font>
      <sz val="11"/>
      <name val="ＭＳ Ｐゴシック"/>
      <family val="2"/>
    </font>
    <font>
      <sz val="6"/>
      <name val="ＭＳ Ｐゴシック"/>
      <family val="2"/>
    </font>
    <font>
      <sz val="10"/>
      <name val="ＭＳ Ｐゴシック"/>
      <family val="2"/>
    </font>
    <font>
      <u/>
      <sz val="11"/>
      <color indexed="12"/>
      <name val="ＭＳ Ｐゴシック"/>
      <family val="2"/>
    </font>
    <font>
      <sz val="8"/>
      <color indexed="10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10"/>
      <name val="宋体"/>
      <family val="3"/>
      <charset val="134"/>
    </font>
    <font>
      <sz val="11"/>
      <name val="宋体"/>
      <family val="3"/>
      <charset val="134"/>
    </font>
    <font>
      <b/>
      <sz val="8"/>
      <color indexed="10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20"/>
      <name val="宋体"/>
      <family val="3"/>
      <charset val="134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sz val="11"/>
      <name val="ＭＳ Ｐゴシック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38" fontId="1" fillId="0" borderId="0" applyFont="0" applyFill="0" applyBorder="0" applyAlignment="0" applyProtection="0"/>
  </cellStyleXfs>
  <cellXfs count="93">
    <xf numFmtId="0" fontId="0" fillId="0" borderId="0" xfId="0"/>
    <xf numFmtId="0" fontId="3" fillId="0" borderId="0" xfId="0" applyFont="1" applyAlignment="1">
      <alignment horizontal="left"/>
    </xf>
    <xf numFmtId="0" fontId="3" fillId="0" borderId="0" xfId="0" applyFont="1"/>
    <xf numFmtId="0" fontId="8" fillId="0" borderId="0" xfId="0" applyFont="1"/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6" fillId="0" borderId="5" xfId="0" applyFont="1" applyFill="1" applyBorder="1"/>
    <xf numFmtId="38" fontId="6" fillId="0" borderId="6" xfId="2" applyFont="1" applyFill="1" applyBorder="1"/>
    <xf numFmtId="38" fontId="6" fillId="0" borderId="7" xfId="2" applyFont="1" applyFill="1" applyBorder="1"/>
    <xf numFmtId="0" fontId="10" fillId="0" borderId="0" xfId="1" applyFont="1" applyAlignment="1" applyProtection="1"/>
    <xf numFmtId="0" fontId="6" fillId="0" borderId="8" xfId="0" applyFont="1" applyFill="1" applyBorder="1"/>
    <xf numFmtId="0" fontId="6" fillId="0" borderId="9" xfId="0" applyFont="1" applyFill="1" applyBorder="1"/>
    <xf numFmtId="38" fontId="6" fillId="0" borderId="9" xfId="2" applyFont="1" applyFill="1" applyBorder="1"/>
    <xf numFmtId="38" fontId="6" fillId="0" borderId="10" xfId="2" applyFont="1" applyFill="1" applyBorder="1"/>
    <xf numFmtId="0" fontId="6" fillId="0" borderId="11" xfId="0" applyFont="1" applyFill="1" applyBorder="1"/>
    <xf numFmtId="0" fontId="6" fillId="0" borderId="12" xfId="0" applyFont="1" applyFill="1" applyBorder="1"/>
    <xf numFmtId="38" fontId="6" fillId="0" borderId="12" xfId="2" applyFont="1" applyFill="1" applyBorder="1"/>
    <xf numFmtId="38" fontId="6" fillId="0" borderId="13" xfId="2" applyFont="1" applyFill="1" applyBorder="1"/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6" fillId="0" borderId="14" xfId="0" applyFont="1" applyFill="1" applyBorder="1"/>
    <xf numFmtId="0" fontId="11" fillId="0" borderId="15" xfId="0" applyFont="1" applyBorder="1" applyAlignment="1">
      <alignment horizontal="left"/>
    </xf>
    <xf numFmtId="0" fontId="11" fillId="0" borderId="15" xfId="0" applyFont="1" applyBorder="1" applyAlignment="1">
      <alignment horizontal="center"/>
    </xf>
    <xf numFmtId="0" fontId="10" fillId="0" borderId="0" xfId="1" applyFont="1" applyBorder="1" applyAlignment="1" applyProtection="1">
      <alignment horizontal="center"/>
    </xf>
    <xf numFmtId="0" fontId="6" fillId="2" borderId="16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17" xfId="0" applyFont="1" applyFill="1" applyBorder="1" applyAlignment="1">
      <alignment horizontal="center" vertical="center"/>
    </xf>
    <xf numFmtId="186" fontId="6" fillId="0" borderId="5" xfId="0" applyNumberFormat="1" applyFont="1" applyFill="1" applyBorder="1" applyAlignment="1">
      <alignment horizontal="center"/>
    </xf>
    <xf numFmtId="187" fontId="6" fillId="0" borderId="6" xfId="0" applyNumberFormat="1" applyFont="1" applyFill="1" applyBorder="1" applyAlignment="1">
      <alignment horizontal="center"/>
    </xf>
    <xf numFmtId="38" fontId="6" fillId="3" borderId="6" xfId="2" applyFont="1" applyFill="1" applyBorder="1"/>
    <xf numFmtId="186" fontId="6" fillId="0" borderId="8" xfId="0" applyNumberFormat="1" applyFont="1" applyFill="1" applyBorder="1" applyAlignment="1">
      <alignment horizontal="center"/>
    </xf>
    <xf numFmtId="187" fontId="6" fillId="0" borderId="9" xfId="0" applyNumberFormat="1" applyFont="1" applyFill="1" applyBorder="1" applyAlignment="1">
      <alignment horizontal="center"/>
    </xf>
    <xf numFmtId="186" fontId="6" fillId="0" borderId="9" xfId="2" applyNumberFormat="1" applyFont="1" applyFill="1" applyBorder="1" applyAlignment="1">
      <alignment horizontal="center"/>
    </xf>
    <xf numFmtId="38" fontId="6" fillId="3" borderId="9" xfId="2" applyFont="1" applyFill="1" applyBorder="1"/>
    <xf numFmtId="0" fontId="6" fillId="0" borderId="9" xfId="0" applyFont="1" applyBorder="1"/>
    <xf numFmtId="38" fontId="6" fillId="3" borderId="9" xfId="0" applyNumberFormat="1" applyFont="1" applyFill="1" applyBorder="1"/>
    <xf numFmtId="38" fontId="6" fillId="0" borderId="7" xfId="2" applyFont="1" applyFill="1" applyBorder="1" applyAlignment="1">
      <alignment horizontal="center"/>
    </xf>
    <xf numFmtId="38" fontId="6" fillId="0" borderId="9" xfId="2" applyFont="1" applyFill="1" applyBorder="1" applyAlignment="1">
      <alignment horizontal="center"/>
    </xf>
    <xf numFmtId="38" fontId="6" fillId="0" borderId="10" xfId="2" applyFont="1" applyFill="1" applyBorder="1" applyAlignment="1">
      <alignment horizontal="center"/>
    </xf>
    <xf numFmtId="186" fontId="6" fillId="0" borderId="18" xfId="0" applyNumberFormat="1" applyFont="1" applyFill="1" applyBorder="1" applyAlignment="1">
      <alignment horizontal="center"/>
    </xf>
    <xf numFmtId="0" fontId="6" fillId="0" borderId="19" xfId="0" applyFont="1" applyFill="1" applyBorder="1"/>
    <xf numFmtId="38" fontId="6" fillId="0" borderId="19" xfId="2" applyFont="1" applyFill="1" applyBorder="1" applyAlignment="1">
      <alignment horizontal="center"/>
    </xf>
    <xf numFmtId="38" fontId="6" fillId="0" borderId="20" xfId="2" applyFont="1" applyFill="1" applyBorder="1" applyAlignment="1">
      <alignment horizontal="center"/>
    </xf>
    <xf numFmtId="0" fontId="13" fillId="0" borderId="0" xfId="0" applyFont="1"/>
    <xf numFmtId="0" fontId="13" fillId="0" borderId="0" xfId="0" applyFont="1" applyAlignment="1">
      <alignment horizontal="left"/>
    </xf>
    <xf numFmtId="0" fontId="11" fillId="0" borderId="15" xfId="0" applyFont="1" applyFill="1" applyBorder="1" applyAlignment="1">
      <alignment horizontal="left"/>
    </xf>
    <xf numFmtId="0" fontId="6" fillId="0" borderId="6" xfId="0" applyFont="1" applyFill="1" applyBorder="1"/>
    <xf numFmtId="38" fontId="6" fillId="0" borderId="6" xfId="2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Alignment="1"/>
    <xf numFmtId="187" fontId="11" fillId="0" borderId="15" xfId="0" applyNumberFormat="1" applyFont="1" applyBorder="1" applyAlignment="1">
      <alignment horizontal="left"/>
    </xf>
    <xf numFmtId="187" fontId="8" fillId="0" borderId="0" xfId="0" applyNumberFormat="1" applyFont="1"/>
    <xf numFmtId="187" fontId="0" fillId="0" borderId="0" xfId="0" applyNumberFormat="1"/>
    <xf numFmtId="49" fontId="8" fillId="0" borderId="0" xfId="0" applyNumberFormat="1" applyFont="1"/>
    <xf numFmtId="49" fontId="0" fillId="0" borderId="0" xfId="0" applyNumberFormat="1"/>
    <xf numFmtId="5" fontId="8" fillId="0" borderId="0" xfId="0" applyNumberFormat="1" applyFont="1"/>
    <xf numFmtId="5" fontId="14" fillId="0" borderId="0" xfId="0" applyNumberFormat="1" applyFont="1"/>
    <xf numFmtId="0" fontId="5" fillId="0" borderId="0" xfId="0" applyFont="1" applyBorder="1" applyAlignment="1">
      <alignment horizontal="left"/>
    </xf>
    <xf numFmtId="49" fontId="11" fillId="0" borderId="0" xfId="0" applyNumberFormat="1" applyFont="1" applyBorder="1" applyAlignment="1">
      <alignment horizontal="left"/>
    </xf>
    <xf numFmtId="187" fontId="6" fillId="0" borderId="19" xfId="0" applyNumberFormat="1" applyFont="1" applyFill="1" applyBorder="1" applyAlignment="1">
      <alignment horizontal="center"/>
    </xf>
    <xf numFmtId="186" fontId="6" fillId="0" borderId="19" xfId="2" applyNumberFormat="1" applyFont="1" applyFill="1" applyBorder="1" applyAlignment="1">
      <alignment horizontal="center"/>
    </xf>
    <xf numFmtId="38" fontId="6" fillId="3" borderId="19" xfId="2" applyFont="1" applyFill="1" applyBorder="1"/>
    <xf numFmtId="0" fontId="6" fillId="0" borderId="19" xfId="0" applyFont="1" applyBorder="1"/>
    <xf numFmtId="0" fontId="6" fillId="0" borderId="21" xfId="0" applyFont="1" applyFill="1" applyBorder="1"/>
    <xf numFmtId="0" fontId="6" fillId="0" borderId="18" xfId="0" applyFont="1" applyFill="1" applyBorder="1"/>
    <xf numFmtId="38" fontId="6" fillId="0" borderId="19" xfId="2" applyFont="1" applyFill="1" applyBorder="1"/>
    <xf numFmtId="38" fontId="6" fillId="0" borderId="20" xfId="2" applyFont="1" applyFill="1" applyBorder="1"/>
    <xf numFmtId="186" fontId="6" fillId="0" borderId="22" xfId="2" applyNumberFormat="1" applyFont="1" applyFill="1" applyBorder="1" applyAlignment="1">
      <alignment horizontal="center"/>
    </xf>
    <xf numFmtId="186" fontId="6" fillId="0" borderId="23" xfId="2" applyNumberFormat="1" applyFont="1" applyFill="1" applyBorder="1" applyAlignment="1">
      <alignment horizontal="center"/>
    </xf>
    <xf numFmtId="0" fontId="6" fillId="0" borderId="24" xfId="0" applyFont="1" applyBorder="1"/>
    <xf numFmtId="0" fontId="6" fillId="0" borderId="21" xfId="0" applyFont="1" applyBorder="1"/>
    <xf numFmtId="38" fontId="6" fillId="3" borderId="12" xfId="2" applyFont="1" applyFill="1" applyBorder="1"/>
    <xf numFmtId="0" fontId="6" fillId="2" borderId="25" xfId="0" applyFont="1" applyFill="1" applyBorder="1" applyAlignment="1">
      <alignment horizontal="center" vertical="center"/>
    </xf>
    <xf numFmtId="0" fontId="8" fillId="0" borderId="26" xfId="0" applyFont="1" applyBorder="1"/>
    <xf numFmtId="186" fontId="6" fillId="0" borderId="24" xfId="0" applyNumberFormat="1" applyFont="1" applyFill="1" applyBorder="1" applyAlignment="1">
      <alignment horizontal="center"/>
    </xf>
    <xf numFmtId="186" fontId="6" fillId="0" borderId="21" xfId="0" applyNumberFormat="1" applyFont="1" applyFill="1" applyBorder="1" applyAlignment="1">
      <alignment horizontal="center"/>
    </xf>
    <xf numFmtId="186" fontId="6" fillId="0" borderId="27" xfId="0" applyNumberFormat="1" applyFont="1" applyFill="1" applyBorder="1" applyAlignment="1">
      <alignment horizontal="center"/>
    </xf>
    <xf numFmtId="187" fontId="6" fillId="2" borderId="2" xfId="0" applyNumberFormat="1" applyFont="1" applyFill="1" applyBorder="1" applyAlignment="1">
      <alignment horizontal="center" vertical="center"/>
    </xf>
    <xf numFmtId="49" fontId="6" fillId="2" borderId="16" xfId="0" applyNumberFormat="1" applyFont="1" applyFill="1" applyBorder="1" applyAlignment="1">
      <alignment horizontal="center" vertical="center"/>
    </xf>
    <xf numFmtId="3" fontId="6" fillId="0" borderId="24" xfId="0" applyNumberFormat="1" applyFont="1" applyFill="1" applyBorder="1" applyAlignment="1"/>
    <xf numFmtId="3" fontId="6" fillId="0" borderId="21" xfId="0" applyNumberFormat="1" applyFont="1" applyFill="1" applyBorder="1" applyAlignment="1"/>
    <xf numFmtId="49" fontId="6" fillId="0" borderId="21" xfId="0" applyNumberFormat="1" applyFont="1" applyFill="1" applyBorder="1" applyAlignment="1">
      <alignment horizontal="center"/>
    </xf>
    <xf numFmtId="49" fontId="6" fillId="0" borderId="27" xfId="0" applyNumberFormat="1" applyFont="1" applyFill="1" applyBorder="1" applyAlignment="1">
      <alignment horizontal="center"/>
    </xf>
    <xf numFmtId="49" fontId="6" fillId="2" borderId="28" xfId="0" applyNumberFormat="1" applyFont="1" applyFill="1" applyBorder="1" applyAlignment="1">
      <alignment horizontal="center" vertical="center"/>
    </xf>
    <xf numFmtId="38" fontId="6" fillId="0" borderId="14" xfId="0" applyNumberFormat="1" applyFont="1" applyFill="1" applyBorder="1" applyAlignment="1"/>
    <xf numFmtId="38" fontId="6" fillId="0" borderId="21" xfId="0" applyNumberFormat="1" applyFont="1" applyFill="1" applyBorder="1" applyAlignment="1"/>
    <xf numFmtId="0" fontId="6" fillId="0" borderId="6" xfId="0" applyNumberFormat="1" applyFont="1" applyFill="1" applyBorder="1" applyAlignment="1"/>
    <xf numFmtId="0" fontId="6" fillId="0" borderId="9" xfId="0" applyNumberFormat="1" applyFont="1" applyFill="1" applyBorder="1" applyAlignment="1"/>
    <xf numFmtId="186" fontId="6" fillId="0" borderId="9" xfId="0" applyNumberFormat="1" applyFont="1" applyFill="1" applyBorder="1" applyAlignment="1">
      <alignment horizontal="center"/>
    </xf>
    <xf numFmtId="186" fontId="6" fillId="0" borderId="19" xfId="0" applyNumberFormat="1" applyFont="1" applyFill="1" applyBorder="1" applyAlignment="1">
      <alignment horizontal="center"/>
    </xf>
  </cellXfs>
  <cellStyles count="3">
    <cellStyle name="常规" xfId="0" builtinId="0"/>
    <cellStyle name="超链接" xfId="1" builtinId="8"/>
    <cellStyle name="千位分隔[0]" xfId="2" builtin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2</xdr:row>
      <xdr:rowOff>47625</xdr:rowOff>
    </xdr:from>
    <xdr:to>
      <xdr:col>13</xdr:col>
      <xdr:colOff>619125</xdr:colOff>
      <xdr:row>11</xdr:row>
      <xdr:rowOff>66675</xdr:rowOff>
    </xdr:to>
    <xdr:sp macro="" textlink="">
      <xdr:nvSpPr>
        <xdr:cNvPr id="3074" name="Rectangle 2"/>
        <xdr:cNvSpPr>
          <a:spLocks noChangeArrowheads="1"/>
        </xdr:cNvSpPr>
      </xdr:nvSpPr>
      <xdr:spPr bwMode="auto">
        <a:xfrm>
          <a:off x="4524375" y="400050"/>
          <a:ext cx="4210050" cy="1638300"/>
        </a:xfrm>
        <a:prstGeom prst="rect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6"/>
  <sheetViews>
    <sheetView showGridLines="0" tabSelected="1" workbookViewId="0">
      <selection activeCell="G2" sqref="G2"/>
    </sheetView>
  </sheetViews>
  <sheetFormatPr defaultRowHeight="13.5"/>
  <cols>
    <col min="1" max="1" width="1.75" customWidth="1"/>
    <col min="2" max="2" width="8.625" bestFit="1" customWidth="1"/>
    <col min="3" max="3" width="23.625" customWidth="1"/>
    <col min="4" max="4" width="9.625" bestFit="1" customWidth="1"/>
    <col min="5" max="6" width="5.375" bestFit="1" customWidth="1"/>
    <col min="7" max="7" width="4.875" customWidth="1"/>
    <col min="8" max="8" width="2.25" customWidth="1"/>
    <col min="17" max="17" width="27" bestFit="1" customWidth="1"/>
  </cols>
  <sheetData>
    <row r="1" spans="1:9" ht="14.25" thickBot="1">
      <c r="A1" s="3"/>
      <c r="B1" s="4" t="s">
        <v>36</v>
      </c>
      <c r="C1" s="5" t="s">
        <v>37</v>
      </c>
      <c r="D1" s="6" t="s">
        <v>1</v>
      </c>
      <c r="E1" s="6" t="s">
        <v>2</v>
      </c>
      <c r="F1" s="7" t="s">
        <v>3</v>
      </c>
      <c r="G1" s="8" t="s">
        <v>29</v>
      </c>
      <c r="H1" s="3"/>
      <c r="I1" s="3"/>
    </row>
    <row r="2" spans="1:9">
      <c r="A2" s="3"/>
      <c r="B2" s="9" t="s">
        <v>4</v>
      </c>
      <c r="C2" s="49" t="s">
        <v>26</v>
      </c>
      <c r="D2" s="10">
        <v>500</v>
      </c>
      <c r="E2" s="10">
        <v>250</v>
      </c>
      <c r="F2" s="11">
        <v>125</v>
      </c>
      <c r="G2" s="12" t="s">
        <v>35</v>
      </c>
      <c r="H2" s="3"/>
      <c r="I2" s="3"/>
    </row>
    <row r="3" spans="1:9">
      <c r="A3" s="3"/>
      <c r="B3" s="13" t="s">
        <v>0</v>
      </c>
      <c r="C3" s="14" t="s">
        <v>25</v>
      </c>
      <c r="D3" s="15">
        <v>500</v>
      </c>
      <c r="E3" s="15">
        <v>200</v>
      </c>
      <c r="F3" s="16">
        <v>100</v>
      </c>
      <c r="G3" s="12" t="s">
        <v>35</v>
      </c>
      <c r="H3" s="3"/>
      <c r="I3" s="3"/>
    </row>
    <row r="4" spans="1:9" ht="14.25">
      <c r="A4" s="3"/>
      <c r="B4" s="17"/>
      <c r="C4" s="18"/>
      <c r="D4" s="19"/>
      <c r="E4" s="19"/>
      <c r="F4" s="20"/>
      <c r="G4" s="12"/>
      <c r="H4" s="21" t="s">
        <v>30</v>
      </c>
      <c r="I4" s="3"/>
    </row>
    <row r="5" spans="1:9" ht="14.25">
      <c r="A5" s="3"/>
      <c r="B5" s="13"/>
      <c r="C5" s="14"/>
      <c r="D5" s="15"/>
      <c r="E5" s="15"/>
      <c r="F5" s="16"/>
      <c r="G5" s="3"/>
      <c r="H5" s="22" t="s">
        <v>5</v>
      </c>
      <c r="I5" s="46" t="s">
        <v>31</v>
      </c>
    </row>
    <row r="6" spans="1:9" ht="14.25">
      <c r="A6" s="3"/>
      <c r="B6" s="13"/>
      <c r="C6" s="14"/>
      <c r="D6" s="15"/>
      <c r="E6" s="15"/>
      <c r="F6" s="16"/>
      <c r="G6" s="3"/>
      <c r="H6" s="22" t="s">
        <v>6</v>
      </c>
      <c r="I6" s="46" t="s">
        <v>33</v>
      </c>
    </row>
    <row r="7" spans="1:9" ht="14.25">
      <c r="A7" s="3"/>
      <c r="B7" s="13"/>
      <c r="C7" s="14"/>
      <c r="D7" s="15"/>
      <c r="E7" s="15"/>
      <c r="F7" s="16"/>
      <c r="G7" s="3"/>
      <c r="H7" s="3"/>
      <c r="I7" s="47" t="s">
        <v>38</v>
      </c>
    </row>
    <row r="8" spans="1:9" ht="14.25">
      <c r="A8" s="3"/>
      <c r="B8" s="13"/>
      <c r="C8" s="14"/>
      <c r="D8" s="15"/>
      <c r="E8" s="15"/>
      <c r="F8" s="16"/>
      <c r="G8" s="3"/>
      <c r="H8" s="22" t="s">
        <v>7</v>
      </c>
      <c r="I8" s="47" t="s">
        <v>19</v>
      </c>
    </row>
    <row r="9" spans="1:9" ht="14.25">
      <c r="A9" s="3"/>
      <c r="B9" s="13"/>
      <c r="C9" s="14"/>
      <c r="D9" s="15"/>
      <c r="E9" s="15"/>
      <c r="F9" s="16"/>
      <c r="G9" s="3"/>
      <c r="H9" s="22" t="s">
        <v>8</v>
      </c>
      <c r="I9" s="47" t="s">
        <v>34</v>
      </c>
    </row>
    <row r="10" spans="1:9" ht="14.25">
      <c r="A10" s="3"/>
      <c r="B10" s="13"/>
      <c r="C10" s="14"/>
      <c r="D10" s="15"/>
      <c r="E10" s="15"/>
      <c r="F10" s="16"/>
      <c r="G10" s="3"/>
      <c r="H10" s="22" t="s">
        <v>9</v>
      </c>
      <c r="I10" s="47" t="s">
        <v>32</v>
      </c>
    </row>
    <row r="11" spans="1:9" ht="14.25">
      <c r="A11" s="3"/>
      <c r="B11" s="17"/>
      <c r="C11" s="23"/>
      <c r="D11" s="19"/>
      <c r="E11" s="19"/>
      <c r="F11" s="20"/>
      <c r="G11" s="3"/>
      <c r="H11" s="22" t="s">
        <v>10</v>
      </c>
      <c r="I11" s="47" t="s">
        <v>20</v>
      </c>
    </row>
    <row r="12" spans="1:9">
      <c r="B12" s="13"/>
      <c r="C12" s="66"/>
      <c r="D12" s="15"/>
      <c r="E12" s="15"/>
      <c r="F12" s="16"/>
      <c r="I12" s="1"/>
    </row>
    <row r="13" spans="1:9">
      <c r="B13" s="13"/>
      <c r="C13" s="66"/>
      <c r="D13" s="15"/>
      <c r="E13" s="15"/>
      <c r="F13" s="16"/>
      <c r="I13" s="1"/>
    </row>
    <row r="14" spans="1:9">
      <c r="B14" s="13"/>
      <c r="C14" s="66"/>
      <c r="D14" s="15"/>
      <c r="E14" s="15"/>
      <c r="F14" s="16"/>
      <c r="I14" s="2"/>
    </row>
    <row r="15" spans="1:9">
      <c r="B15" s="13"/>
      <c r="C15" s="66"/>
      <c r="D15" s="15"/>
      <c r="E15" s="15"/>
      <c r="F15" s="16"/>
    </row>
    <row r="16" spans="1:9">
      <c r="B16" s="13"/>
      <c r="C16" s="66"/>
      <c r="D16" s="15"/>
      <c r="E16" s="15"/>
      <c r="F16" s="16"/>
    </row>
    <row r="17" spans="2:6">
      <c r="B17" s="13"/>
      <c r="C17" s="66"/>
      <c r="D17" s="15"/>
      <c r="E17" s="15"/>
      <c r="F17" s="16"/>
    </row>
    <row r="18" spans="2:6">
      <c r="B18" s="13"/>
      <c r="C18" s="66"/>
      <c r="D18" s="15"/>
      <c r="E18" s="15"/>
      <c r="F18" s="16"/>
    </row>
    <row r="19" spans="2:6">
      <c r="B19" s="13"/>
      <c r="C19" s="66"/>
      <c r="D19" s="15"/>
      <c r="E19" s="15"/>
      <c r="F19" s="16"/>
    </row>
    <row r="20" spans="2:6">
      <c r="B20" s="13"/>
      <c r="C20" s="66"/>
      <c r="D20" s="15"/>
      <c r="E20" s="15"/>
      <c r="F20" s="16"/>
    </row>
    <row r="21" spans="2:6">
      <c r="B21" s="13"/>
      <c r="C21" s="66"/>
      <c r="D21" s="15"/>
      <c r="E21" s="15"/>
      <c r="F21" s="16"/>
    </row>
    <row r="22" spans="2:6">
      <c r="B22" s="13"/>
      <c r="C22" s="66"/>
      <c r="D22" s="15"/>
      <c r="E22" s="15"/>
      <c r="F22" s="16"/>
    </row>
    <row r="23" spans="2:6">
      <c r="B23" s="17"/>
      <c r="C23" s="18"/>
      <c r="D23" s="19"/>
      <c r="E23" s="19"/>
      <c r="F23" s="20"/>
    </row>
    <row r="24" spans="2:6">
      <c r="B24" s="13"/>
      <c r="C24" s="14"/>
      <c r="D24" s="15"/>
      <c r="E24" s="15"/>
      <c r="F24" s="16"/>
    </row>
    <row r="25" spans="2:6" ht="13.5" customHeight="1">
      <c r="B25" s="13"/>
      <c r="C25" s="14"/>
      <c r="D25" s="15"/>
      <c r="E25" s="15"/>
      <c r="F25" s="16"/>
    </row>
    <row r="26" spans="2:6" ht="14.25" customHeight="1">
      <c r="B26" s="13"/>
      <c r="C26" s="14"/>
      <c r="D26" s="15"/>
      <c r="E26" s="15"/>
      <c r="F26" s="16"/>
    </row>
    <row r="27" spans="2:6" ht="13.5" customHeight="1">
      <c r="B27" s="13"/>
      <c r="C27" s="14"/>
      <c r="D27" s="15"/>
      <c r="E27" s="15"/>
      <c r="F27" s="16"/>
    </row>
    <row r="28" spans="2:6" ht="14.25" customHeight="1">
      <c r="B28" s="13"/>
      <c r="C28" s="14"/>
      <c r="D28" s="15"/>
      <c r="E28" s="15"/>
      <c r="F28" s="16"/>
    </row>
    <row r="29" spans="2:6" ht="14.25" customHeight="1">
      <c r="B29" s="17"/>
      <c r="C29" s="18"/>
      <c r="D29" s="19"/>
      <c r="E29" s="19"/>
      <c r="F29" s="20"/>
    </row>
    <row r="30" spans="2:6">
      <c r="B30" s="13"/>
      <c r="C30" s="14"/>
      <c r="D30" s="15"/>
      <c r="E30" s="15"/>
      <c r="F30" s="16"/>
    </row>
    <row r="31" spans="2:6">
      <c r="B31" s="13"/>
      <c r="C31" s="14"/>
      <c r="D31" s="15"/>
      <c r="E31" s="15"/>
      <c r="F31" s="16"/>
    </row>
    <row r="32" spans="2:6">
      <c r="B32" s="13"/>
      <c r="C32" s="14"/>
      <c r="D32" s="15"/>
      <c r="E32" s="15"/>
      <c r="F32" s="16"/>
    </row>
    <row r="33" spans="2:6">
      <c r="B33" s="13"/>
      <c r="C33" s="14"/>
      <c r="D33" s="15"/>
      <c r="E33" s="15"/>
      <c r="F33" s="16"/>
    </row>
    <row r="34" spans="2:6">
      <c r="B34" s="13"/>
      <c r="C34" s="14"/>
      <c r="D34" s="15"/>
      <c r="E34" s="15"/>
      <c r="F34" s="16"/>
    </row>
    <row r="35" spans="2:6">
      <c r="B35" s="17"/>
      <c r="C35" s="18"/>
      <c r="D35" s="19"/>
      <c r="E35" s="19"/>
      <c r="F35" s="20"/>
    </row>
    <row r="36" spans="2:6">
      <c r="B36" s="13"/>
      <c r="C36" s="14"/>
      <c r="D36" s="15"/>
      <c r="E36" s="15"/>
      <c r="F36" s="16"/>
    </row>
    <row r="37" spans="2:6">
      <c r="B37" s="13"/>
      <c r="C37" s="14"/>
      <c r="D37" s="15"/>
      <c r="E37" s="15"/>
      <c r="F37" s="16"/>
    </row>
    <row r="38" spans="2:6">
      <c r="B38" s="13"/>
      <c r="C38" s="14"/>
      <c r="D38" s="15"/>
      <c r="E38" s="15"/>
      <c r="F38" s="16"/>
    </row>
    <row r="39" spans="2:6">
      <c r="B39" s="13"/>
      <c r="C39" s="14"/>
      <c r="D39" s="15"/>
      <c r="E39" s="15"/>
      <c r="F39" s="16"/>
    </row>
    <row r="40" spans="2:6">
      <c r="B40" s="13"/>
      <c r="C40" s="14"/>
      <c r="D40" s="15"/>
      <c r="E40" s="15"/>
      <c r="F40" s="16"/>
    </row>
    <row r="41" spans="2:6">
      <c r="B41" s="13"/>
      <c r="C41" s="18"/>
      <c r="D41" s="15"/>
      <c r="E41" s="15"/>
      <c r="F41" s="16"/>
    </row>
    <row r="42" spans="2:6">
      <c r="B42" s="13"/>
      <c r="C42" s="14"/>
      <c r="D42" s="15"/>
      <c r="E42" s="15"/>
      <c r="F42" s="16"/>
    </row>
    <row r="43" spans="2:6">
      <c r="B43" s="13"/>
      <c r="C43" s="14"/>
      <c r="D43" s="15"/>
      <c r="E43" s="15"/>
      <c r="F43" s="16"/>
    </row>
    <row r="44" spans="2:6">
      <c r="B44" s="13"/>
      <c r="C44" s="14"/>
      <c r="D44" s="15"/>
      <c r="E44" s="15"/>
      <c r="F44" s="16"/>
    </row>
    <row r="45" spans="2:6">
      <c r="B45" s="13"/>
      <c r="C45" s="14"/>
      <c r="D45" s="15"/>
      <c r="E45" s="15"/>
      <c r="F45" s="16"/>
    </row>
    <row r="46" spans="2:6" ht="14.25" thickBot="1">
      <c r="B46" s="67"/>
      <c r="C46" s="43"/>
      <c r="D46" s="68"/>
      <c r="E46" s="68"/>
      <c r="F46" s="69"/>
    </row>
  </sheetData>
  <phoneticPr fontId="2"/>
  <hyperlinks>
    <hyperlink ref="G2" location="带鱼!A1" display="转至!"/>
    <hyperlink ref="G3" location="葡萄干!A1" display="转至!"/>
  </hyperlink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4"/>
  <sheetViews>
    <sheetView showGridLines="0" workbookViewId="0"/>
  </sheetViews>
  <sheetFormatPr defaultRowHeight="13.5"/>
  <cols>
    <col min="1" max="1" width="8" bestFit="1" customWidth="1"/>
    <col min="2" max="2" width="8" style="55" bestFit="1" customWidth="1"/>
    <col min="3" max="3" width="8" bestFit="1" customWidth="1"/>
    <col min="4" max="4" width="33.5" customWidth="1"/>
    <col min="5" max="5" width="11.625" customWidth="1"/>
    <col min="6" max="6" width="11.625" style="57" customWidth="1"/>
    <col min="7" max="7" width="8" style="57" bestFit="1" customWidth="1"/>
    <col min="8" max="8" width="9.25" style="59" customWidth="1"/>
    <col min="9" max="9" width="1.375" customWidth="1"/>
    <col min="10" max="10" width="1.875" customWidth="1"/>
    <col min="20" max="20" width="27" bestFit="1" customWidth="1"/>
  </cols>
  <sheetData>
    <row r="1" spans="1:8" ht="26.25" thickBot="1">
      <c r="A1" s="24" t="s">
        <v>4</v>
      </c>
      <c r="B1" s="53"/>
      <c r="C1" s="24" t="s">
        <v>26</v>
      </c>
      <c r="D1" s="25"/>
      <c r="E1" s="60" t="s">
        <v>28</v>
      </c>
      <c r="F1" s="61"/>
      <c r="G1" s="26" t="s">
        <v>11</v>
      </c>
    </row>
    <row r="2" spans="1:8" ht="6" customHeight="1" thickTop="1" thickBot="1">
      <c r="A2" s="3"/>
      <c r="B2" s="54"/>
      <c r="C2" s="3"/>
      <c r="D2" s="3"/>
      <c r="E2" s="3"/>
      <c r="F2" s="56"/>
      <c r="G2" s="56"/>
      <c r="H2" s="58"/>
    </row>
    <row r="3" spans="1:8" ht="32.25" customHeight="1" thickBot="1">
      <c r="A3" s="4" t="s">
        <v>12</v>
      </c>
      <c r="B3" s="80" t="s">
        <v>13</v>
      </c>
      <c r="C3" s="27" t="s">
        <v>39</v>
      </c>
      <c r="D3" s="6" t="s">
        <v>40</v>
      </c>
      <c r="E3" s="86" t="s">
        <v>14</v>
      </c>
      <c r="F3" s="86" t="s">
        <v>2</v>
      </c>
      <c r="G3" s="81" t="s">
        <v>15</v>
      </c>
      <c r="H3"/>
    </row>
    <row r="4" spans="1:8">
      <c r="A4" s="30">
        <v>2</v>
      </c>
      <c r="B4" s="31">
        <v>37996</v>
      </c>
      <c r="C4" s="77">
        <v>1</v>
      </c>
      <c r="D4" s="74" t="str">
        <f>IF(C4="","",VLOOKUP(C4,客户一览表!B:C,2))</f>
        <v>玲珑市场</v>
      </c>
      <c r="E4" s="89">
        <v>25</v>
      </c>
      <c r="F4" s="87">
        <f>IF(E4="","",VLOOKUP($A$1,目录!B:E,4))</f>
        <v>250</v>
      </c>
      <c r="G4" s="82">
        <f>IF(E4="","",E4*F4)</f>
        <v>6250</v>
      </c>
      <c r="H4"/>
    </row>
    <row r="5" spans="1:8">
      <c r="A5" s="33">
        <v>4</v>
      </c>
      <c r="B5" s="34">
        <v>37996</v>
      </c>
      <c r="C5" s="78">
        <v>2</v>
      </c>
      <c r="D5" s="36" t="str">
        <f>IF(C5="","",VLOOKUP(C5,客户一览表!B:C,2))</f>
        <v>好邻居超市</v>
      </c>
      <c r="E5" s="90">
        <v>70</v>
      </c>
      <c r="F5" s="88">
        <f>IF(E5="","",VLOOKUP($A$1,目录!B:E,4))</f>
        <v>250</v>
      </c>
      <c r="G5" s="83">
        <f>IF(E5="","",E5*F5)</f>
        <v>17500</v>
      </c>
      <c r="H5"/>
    </row>
    <row r="6" spans="1:8">
      <c r="A6" s="33"/>
      <c r="B6" s="34"/>
      <c r="C6" s="78"/>
      <c r="D6" s="36" t="str">
        <f>IF(C6="","",VLOOKUP(C6,客户一览表!B:C,2))</f>
        <v/>
      </c>
      <c r="E6" s="91"/>
      <c r="F6" s="84" t="str">
        <f>IF(E6="","",VLOOKUP($A$1,目录!B:E,4))</f>
        <v/>
      </c>
      <c r="G6" s="84" t="str">
        <f t="shared" ref="G6:G37" si="0">IF(E6="","",E6*F6)</f>
        <v/>
      </c>
      <c r="H6"/>
    </row>
    <row r="7" spans="1:8">
      <c r="A7" s="33"/>
      <c r="B7" s="34"/>
      <c r="C7" s="78"/>
      <c r="D7" s="36" t="str">
        <f>IF(C7="","",VLOOKUP(C7,客户一览表!B:C,2))</f>
        <v/>
      </c>
      <c r="E7" s="91"/>
      <c r="F7" s="84" t="str">
        <f>IF(E7="","",VLOOKUP($A$1,目录!B:E,4))</f>
        <v/>
      </c>
      <c r="G7" s="84" t="str">
        <f t="shared" si="0"/>
        <v/>
      </c>
      <c r="H7"/>
    </row>
    <row r="8" spans="1:8">
      <c r="A8" s="33"/>
      <c r="B8" s="34"/>
      <c r="C8" s="78"/>
      <c r="D8" s="36" t="str">
        <f>IF(C8="","",VLOOKUP(C8,客户一览表!B:C,2))</f>
        <v/>
      </c>
      <c r="E8" s="91"/>
      <c r="F8" s="84" t="str">
        <f>IF(E8="","",VLOOKUP($A$1,目录!B:E,4))</f>
        <v/>
      </c>
      <c r="G8" s="84" t="str">
        <f t="shared" si="0"/>
        <v/>
      </c>
      <c r="H8"/>
    </row>
    <row r="9" spans="1:8">
      <c r="A9" s="33"/>
      <c r="B9" s="34"/>
      <c r="C9" s="78"/>
      <c r="D9" s="36" t="str">
        <f>IF(C9="","",VLOOKUP(C9,客户一览表!B:C,2))</f>
        <v/>
      </c>
      <c r="E9" s="91"/>
      <c r="F9" s="84" t="str">
        <f>IF(E9="","",VLOOKUP($A$1,目录!B:E,4))</f>
        <v/>
      </c>
      <c r="G9" s="84" t="str">
        <f t="shared" si="0"/>
        <v/>
      </c>
      <c r="H9"/>
    </row>
    <row r="10" spans="1:8">
      <c r="A10" s="33"/>
      <c r="B10" s="34"/>
      <c r="C10" s="78"/>
      <c r="D10" s="36" t="str">
        <f>IF(C10="","",VLOOKUP(C10,客户一览表!B:C,2))</f>
        <v/>
      </c>
      <c r="E10" s="91"/>
      <c r="F10" s="84" t="str">
        <f>IF(E10="","",VLOOKUP($A$1,目录!B:E,4))</f>
        <v/>
      </c>
      <c r="G10" s="84" t="str">
        <f t="shared" si="0"/>
        <v/>
      </c>
      <c r="H10"/>
    </row>
    <row r="11" spans="1:8">
      <c r="A11" s="33"/>
      <c r="B11" s="34"/>
      <c r="C11" s="78"/>
      <c r="D11" s="36" t="str">
        <f>IF(C11="","",VLOOKUP(C11,客户一览表!B:C,2))</f>
        <v/>
      </c>
      <c r="E11" s="91"/>
      <c r="F11" s="84" t="str">
        <f>IF(E11="","",VLOOKUP($A$1,目录!B:E,4))</f>
        <v/>
      </c>
      <c r="G11" s="84" t="str">
        <f t="shared" si="0"/>
        <v/>
      </c>
      <c r="H11"/>
    </row>
    <row r="12" spans="1:8">
      <c r="A12" s="33"/>
      <c r="B12" s="34"/>
      <c r="C12" s="78"/>
      <c r="D12" s="36" t="str">
        <f>IF(C12="","",VLOOKUP(C12,客户一览表!B:C,2))</f>
        <v/>
      </c>
      <c r="E12" s="91"/>
      <c r="F12" s="84" t="str">
        <f>IF(E12="","",VLOOKUP($A$1,目录!B:E,4))</f>
        <v/>
      </c>
      <c r="G12" s="84" t="str">
        <f t="shared" si="0"/>
        <v/>
      </c>
      <c r="H12"/>
    </row>
    <row r="13" spans="1:8">
      <c r="A13" s="33"/>
      <c r="B13" s="34"/>
      <c r="C13" s="78"/>
      <c r="D13" s="36" t="str">
        <f>IF(C13="","",VLOOKUP(C13,客户一览表!B:C,2))</f>
        <v/>
      </c>
      <c r="E13" s="91"/>
      <c r="F13" s="84" t="str">
        <f>IF(E13="","",VLOOKUP($A$1,目录!B:E,4))</f>
        <v/>
      </c>
      <c r="G13" s="84" t="str">
        <f t="shared" si="0"/>
        <v/>
      </c>
      <c r="H13"/>
    </row>
    <row r="14" spans="1:8">
      <c r="A14" s="33"/>
      <c r="B14" s="34"/>
      <c r="C14" s="78"/>
      <c r="D14" s="36" t="str">
        <f>IF(C14="","",VLOOKUP(C14,客户一览表!B:C,2))</f>
        <v/>
      </c>
      <c r="E14" s="91"/>
      <c r="F14" s="84" t="str">
        <f>IF(E14="","",VLOOKUP($A$1,目录!B:E,4))</f>
        <v/>
      </c>
      <c r="G14" s="84" t="str">
        <f t="shared" si="0"/>
        <v/>
      </c>
      <c r="H14"/>
    </row>
    <row r="15" spans="1:8">
      <c r="A15" s="33"/>
      <c r="B15" s="34"/>
      <c r="C15" s="78"/>
      <c r="D15" s="36" t="str">
        <f>IF(C15="","",VLOOKUP(C15,客户一览表!B:C,2))</f>
        <v/>
      </c>
      <c r="E15" s="91"/>
      <c r="F15" s="84" t="str">
        <f>IF(E15="","",VLOOKUP($A$1,目录!B:E,4))</f>
        <v/>
      </c>
      <c r="G15" s="84" t="str">
        <f t="shared" si="0"/>
        <v/>
      </c>
      <c r="H15"/>
    </row>
    <row r="16" spans="1:8">
      <c r="A16" s="33"/>
      <c r="B16" s="34"/>
      <c r="C16" s="78"/>
      <c r="D16" s="36" t="str">
        <f>IF(C16="","",VLOOKUP(C16,客户一览表!B:C,2))</f>
        <v/>
      </c>
      <c r="E16" s="91"/>
      <c r="F16" s="84" t="str">
        <f>IF(E16="","",VLOOKUP($A$1,目录!B:E,4))</f>
        <v/>
      </c>
      <c r="G16" s="84" t="str">
        <f t="shared" si="0"/>
        <v/>
      </c>
      <c r="H16"/>
    </row>
    <row r="17" spans="1:8">
      <c r="A17" s="33"/>
      <c r="B17" s="34"/>
      <c r="C17" s="78"/>
      <c r="D17" s="36" t="str">
        <f>IF(C17="","",VLOOKUP(C17,客户一览表!B:C,2))</f>
        <v/>
      </c>
      <c r="E17" s="91"/>
      <c r="F17" s="84" t="str">
        <f>IF(E17="","",VLOOKUP($A$1,目录!B:E,4))</f>
        <v/>
      </c>
      <c r="G17" s="84" t="str">
        <f t="shared" si="0"/>
        <v/>
      </c>
      <c r="H17"/>
    </row>
    <row r="18" spans="1:8">
      <c r="A18" s="33"/>
      <c r="B18" s="34"/>
      <c r="C18" s="78"/>
      <c r="D18" s="36" t="str">
        <f>IF(C18="","",VLOOKUP(C18,客户一览表!B:C,2))</f>
        <v/>
      </c>
      <c r="E18" s="91"/>
      <c r="F18" s="84" t="str">
        <f>IF(E18="","",VLOOKUP($A$1,目录!B:E,4))</f>
        <v/>
      </c>
      <c r="G18" s="84" t="str">
        <f t="shared" si="0"/>
        <v/>
      </c>
      <c r="H18"/>
    </row>
    <row r="19" spans="1:8">
      <c r="A19" s="33"/>
      <c r="B19" s="34"/>
      <c r="C19" s="78"/>
      <c r="D19" s="36" t="str">
        <f>IF(C19="","",VLOOKUP(C19,客户一览表!B:C,2))</f>
        <v/>
      </c>
      <c r="E19" s="91"/>
      <c r="F19" s="84" t="str">
        <f>IF(E19="","",VLOOKUP($A$1,目录!B:E,4))</f>
        <v/>
      </c>
      <c r="G19" s="84" t="str">
        <f t="shared" si="0"/>
        <v/>
      </c>
      <c r="H19"/>
    </row>
    <row r="20" spans="1:8">
      <c r="A20" s="33"/>
      <c r="B20" s="34"/>
      <c r="C20" s="78"/>
      <c r="D20" s="36" t="str">
        <f>IF(C20="","",VLOOKUP(C20,客户一览表!B:C,2))</f>
        <v/>
      </c>
      <c r="E20" s="91"/>
      <c r="F20" s="84" t="str">
        <f>IF(E20="","",VLOOKUP($A$1,目录!B:E,4))</f>
        <v/>
      </c>
      <c r="G20" s="84" t="str">
        <f t="shared" si="0"/>
        <v/>
      </c>
      <c r="H20"/>
    </row>
    <row r="21" spans="1:8">
      <c r="A21" s="33"/>
      <c r="B21" s="34"/>
      <c r="C21" s="78"/>
      <c r="D21" s="36" t="str">
        <f>IF(C21="","",VLOOKUP(C21,客户一览表!B:C,2))</f>
        <v/>
      </c>
      <c r="E21" s="91"/>
      <c r="F21" s="84" t="str">
        <f>IF(E21="","",VLOOKUP($A$1,目录!B:E,4))</f>
        <v/>
      </c>
      <c r="G21" s="84" t="str">
        <f t="shared" si="0"/>
        <v/>
      </c>
      <c r="H21"/>
    </row>
    <row r="22" spans="1:8">
      <c r="A22" s="33"/>
      <c r="B22" s="34"/>
      <c r="C22" s="78"/>
      <c r="D22" s="36" t="str">
        <f>IF(C22="","",VLOOKUP(C22,客户一览表!B:C,2))</f>
        <v/>
      </c>
      <c r="E22" s="91"/>
      <c r="F22" s="84" t="str">
        <f>IF(E22="","",VLOOKUP($A$1,目录!B:E,4))</f>
        <v/>
      </c>
      <c r="G22" s="84" t="str">
        <f t="shared" si="0"/>
        <v/>
      </c>
      <c r="H22"/>
    </row>
    <row r="23" spans="1:8">
      <c r="A23" s="33"/>
      <c r="B23" s="34"/>
      <c r="C23" s="78"/>
      <c r="D23" s="36" t="str">
        <f>IF(C23="","",VLOOKUP(C23,客户一览表!B:C,2))</f>
        <v/>
      </c>
      <c r="E23" s="91"/>
      <c r="F23" s="84" t="str">
        <f>IF(E23="","",VLOOKUP($A$1,目录!B:E,4))</f>
        <v/>
      </c>
      <c r="G23" s="84" t="str">
        <f t="shared" si="0"/>
        <v/>
      </c>
      <c r="H23"/>
    </row>
    <row r="24" spans="1:8">
      <c r="A24" s="33"/>
      <c r="B24" s="34"/>
      <c r="C24" s="78"/>
      <c r="D24" s="36" t="str">
        <f>IF(C24="","",VLOOKUP(C24,客户一览表!B:C,2))</f>
        <v/>
      </c>
      <c r="E24" s="91"/>
      <c r="F24" s="84" t="str">
        <f>IF(E24="","",VLOOKUP($A$1,目录!B:E,4))</f>
        <v/>
      </c>
      <c r="G24" s="84" t="str">
        <f t="shared" si="0"/>
        <v/>
      </c>
      <c r="H24"/>
    </row>
    <row r="25" spans="1:8">
      <c r="A25" s="33"/>
      <c r="B25" s="34"/>
      <c r="C25" s="78"/>
      <c r="D25" s="36" t="str">
        <f>IF(C25="","",VLOOKUP(C25,客户一览表!B:C,2))</f>
        <v/>
      </c>
      <c r="E25" s="91"/>
      <c r="F25" s="84" t="str">
        <f>IF(E25="","",VLOOKUP($A$1,目录!B:E,4))</f>
        <v/>
      </c>
      <c r="G25" s="84" t="str">
        <f t="shared" si="0"/>
        <v/>
      </c>
      <c r="H25"/>
    </row>
    <row r="26" spans="1:8">
      <c r="A26" s="33"/>
      <c r="B26" s="34"/>
      <c r="C26" s="78"/>
      <c r="D26" s="36" t="str">
        <f>IF(C26="","",VLOOKUP(C26,客户一览表!B:C,2))</f>
        <v/>
      </c>
      <c r="E26" s="91"/>
      <c r="F26" s="84" t="str">
        <f>IF(E26="","",VLOOKUP($A$1,目录!B:E,4))</f>
        <v/>
      </c>
      <c r="G26" s="84" t="str">
        <f t="shared" si="0"/>
        <v/>
      </c>
      <c r="H26"/>
    </row>
    <row r="27" spans="1:8">
      <c r="A27" s="33"/>
      <c r="B27" s="34"/>
      <c r="C27" s="78"/>
      <c r="D27" s="36" t="str">
        <f>IF(C27="","",VLOOKUP(C27,客户一览表!B:C,2))</f>
        <v/>
      </c>
      <c r="E27" s="91"/>
      <c r="F27" s="84" t="str">
        <f>IF(E27="","",VLOOKUP($A$1,目录!B:E,4))</f>
        <v/>
      </c>
      <c r="G27" s="84" t="str">
        <f t="shared" si="0"/>
        <v/>
      </c>
      <c r="H27"/>
    </row>
    <row r="28" spans="1:8">
      <c r="A28" s="33"/>
      <c r="B28" s="34"/>
      <c r="C28" s="78"/>
      <c r="D28" s="36" t="str">
        <f>IF(C28="","",VLOOKUP(C28,客户一览表!B:C,2))</f>
        <v/>
      </c>
      <c r="E28" s="91"/>
      <c r="F28" s="84" t="str">
        <f>IF(E28="","",VLOOKUP($A$1,目录!B:E,4))</f>
        <v/>
      </c>
      <c r="G28" s="84" t="str">
        <f t="shared" si="0"/>
        <v/>
      </c>
      <c r="H28"/>
    </row>
    <row r="29" spans="1:8">
      <c r="A29" s="33"/>
      <c r="B29" s="34"/>
      <c r="C29" s="78"/>
      <c r="D29" s="36" t="str">
        <f>IF(C29="","",VLOOKUP(C29,客户一览表!B:C,2))</f>
        <v/>
      </c>
      <c r="E29" s="91"/>
      <c r="F29" s="84" t="str">
        <f>IF(E29="","",VLOOKUP($A$1,目录!B:E,4))</f>
        <v/>
      </c>
      <c r="G29" s="84" t="str">
        <f t="shared" si="0"/>
        <v/>
      </c>
      <c r="H29"/>
    </row>
    <row r="30" spans="1:8">
      <c r="A30" s="33"/>
      <c r="B30" s="34"/>
      <c r="C30" s="78"/>
      <c r="D30" s="36" t="str">
        <f>IF(C30="","",VLOOKUP(C30,客户一览表!B:C,2))</f>
        <v/>
      </c>
      <c r="E30" s="91"/>
      <c r="F30" s="84" t="str">
        <f>IF(E30="","",VLOOKUP($A$1,目录!B:E,4))</f>
        <v/>
      </c>
      <c r="G30" s="84" t="str">
        <f t="shared" si="0"/>
        <v/>
      </c>
      <c r="H30"/>
    </row>
    <row r="31" spans="1:8">
      <c r="A31" s="33"/>
      <c r="B31" s="34"/>
      <c r="C31" s="78"/>
      <c r="D31" s="36" t="str">
        <f>IF(C31="","",VLOOKUP(C31,客户一览表!B:C,2))</f>
        <v/>
      </c>
      <c r="E31" s="91"/>
      <c r="F31" s="84" t="str">
        <f>IF(E31="","",VLOOKUP($A$1,目录!B:E,4))</f>
        <v/>
      </c>
      <c r="G31" s="84" t="str">
        <f t="shared" si="0"/>
        <v/>
      </c>
      <c r="H31"/>
    </row>
    <row r="32" spans="1:8">
      <c r="A32" s="33"/>
      <c r="B32" s="34"/>
      <c r="C32" s="78"/>
      <c r="D32" s="36" t="str">
        <f>IF(C32="","",VLOOKUP(C32,客户一览表!B:C,2))</f>
        <v/>
      </c>
      <c r="E32" s="91"/>
      <c r="F32" s="84" t="str">
        <f>IF(E32="","",VLOOKUP($A$1,目录!B:E,4))</f>
        <v/>
      </c>
      <c r="G32" s="84" t="str">
        <f t="shared" si="0"/>
        <v/>
      </c>
      <c r="H32"/>
    </row>
    <row r="33" spans="1:8">
      <c r="A33" s="33"/>
      <c r="B33" s="34"/>
      <c r="C33" s="78"/>
      <c r="D33" s="36" t="str">
        <f>IF(C33="","",VLOOKUP(C33,客户一览表!B:C,2))</f>
        <v/>
      </c>
      <c r="E33" s="91"/>
      <c r="F33" s="84" t="str">
        <f>IF(E33="","",VLOOKUP($A$1,目录!B:E,4))</f>
        <v/>
      </c>
      <c r="G33" s="84" t="str">
        <f t="shared" si="0"/>
        <v/>
      </c>
      <c r="H33"/>
    </row>
    <row r="34" spans="1:8">
      <c r="A34" s="33"/>
      <c r="B34" s="34"/>
      <c r="C34" s="78"/>
      <c r="D34" s="36" t="str">
        <f>IF(C34="","",VLOOKUP(C34,客户一览表!B:C,2))</f>
        <v/>
      </c>
      <c r="E34" s="91"/>
      <c r="F34" s="84" t="str">
        <f>IF(E34="","",VLOOKUP($A$1,目录!B:E,4))</f>
        <v/>
      </c>
      <c r="G34" s="84" t="str">
        <f t="shared" si="0"/>
        <v/>
      </c>
      <c r="H34"/>
    </row>
    <row r="35" spans="1:8">
      <c r="A35" s="33"/>
      <c r="B35" s="34"/>
      <c r="C35" s="78"/>
      <c r="D35" s="36" t="str">
        <f>IF(C35="","",VLOOKUP(C35,客户一览表!B:C,2))</f>
        <v/>
      </c>
      <c r="E35" s="91"/>
      <c r="F35" s="84" t="str">
        <f>IF(E35="","",VLOOKUP($A$1,目录!B:E,4))</f>
        <v/>
      </c>
      <c r="G35" s="84" t="str">
        <f t="shared" si="0"/>
        <v/>
      </c>
      <c r="H35"/>
    </row>
    <row r="36" spans="1:8">
      <c r="A36" s="33"/>
      <c r="B36" s="34"/>
      <c r="C36" s="78"/>
      <c r="D36" s="36" t="str">
        <f>IF(C36="","",VLOOKUP(C36,客户一览表!B:C,2))</f>
        <v/>
      </c>
      <c r="E36" s="91"/>
      <c r="F36" s="84" t="str">
        <f>IF(E36="","",VLOOKUP($A$1,目录!B:E,4))</f>
        <v/>
      </c>
      <c r="G36" s="84" t="str">
        <f t="shared" si="0"/>
        <v/>
      </c>
      <c r="H36"/>
    </row>
    <row r="37" spans="1:8">
      <c r="A37" s="33"/>
      <c r="B37" s="34"/>
      <c r="C37" s="78"/>
      <c r="D37" s="36" t="str">
        <f>IF(C37="","",VLOOKUP(C37,客户一览表!B:C,2))</f>
        <v/>
      </c>
      <c r="E37" s="91"/>
      <c r="F37" s="84" t="str">
        <f>IF(E37="","",VLOOKUP($A$1,目录!B:E,4))</f>
        <v/>
      </c>
      <c r="G37" s="84" t="str">
        <f t="shared" si="0"/>
        <v/>
      </c>
      <c r="H37"/>
    </row>
    <row r="38" spans="1:8">
      <c r="A38" s="33"/>
      <c r="B38" s="34"/>
      <c r="C38" s="78"/>
      <c r="D38" s="36" t="str">
        <f>IF(C38="","",VLOOKUP(C38,客户一览表!B:C,2))</f>
        <v/>
      </c>
      <c r="E38" s="91"/>
      <c r="F38" s="84" t="str">
        <f>IF(E38="","",VLOOKUP($A$1,目录!B:E,4))</f>
        <v/>
      </c>
      <c r="G38" s="84" t="str">
        <f t="shared" ref="G38:G54" si="1">IF(E38="","",E38*F38)</f>
        <v/>
      </c>
      <c r="H38"/>
    </row>
    <row r="39" spans="1:8">
      <c r="A39" s="33"/>
      <c r="B39" s="34"/>
      <c r="C39" s="78"/>
      <c r="D39" s="36" t="str">
        <f>IF(C39="","",VLOOKUP(C39,客户一览表!B:C,2))</f>
        <v/>
      </c>
      <c r="E39" s="91"/>
      <c r="F39" s="84" t="str">
        <f>IF(E39="","",VLOOKUP($A$1,目录!B:E,4))</f>
        <v/>
      </c>
      <c r="G39" s="84" t="str">
        <f t="shared" si="1"/>
        <v/>
      </c>
      <c r="H39"/>
    </row>
    <row r="40" spans="1:8">
      <c r="A40" s="33"/>
      <c r="B40" s="34"/>
      <c r="C40" s="78"/>
      <c r="D40" s="36" t="str">
        <f>IF(C40="","",VLOOKUP(C40,客户一览表!B:C,2))</f>
        <v/>
      </c>
      <c r="E40" s="91"/>
      <c r="F40" s="84" t="str">
        <f>IF(E40="","",VLOOKUP($A$1,目录!B:E,4))</f>
        <v/>
      </c>
      <c r="G40" s="84" t="str">
        <f t="shared" si="1"/>
        <v/>
      </c>
      <c r="H40"/>
    </row>
    <row r="41" spans="1:8">
      <c r="A41" s="33"/>
      <c r="B41" s="34"/>
      <c r="C41" s="78"/>
      <c r="D41" s="36" t="str">
        <f>IF(C41="","",VLOOKUP(C41,客户一览表!B:C,2))</f>
        <v/>
      </c>
      <c r="E41" s="91"/>
      <c r="F41" s="84" t="str">
        <f>IF(E41="","",VLOOKUP($A$1,目录!B:E,4))</f>
        <v/>
      </c>
      <c r="G41" s="84" t="str">
        <f t="shared" si="1"/>
        <v/>
      </c>
      <c r="H41"/>
    </row>
    <row r="42" spans="1:8">
      <c r="A42" s="33"/>
      <c r="B42" s="34"/>
      <c r="C42" s="78"/>
      <c r="D42" s="36" t="str">
        <f>IF(C42="","",VLOOKUP(C42,客户一览表!B:C,2))</f>
        <v/>
      </c>
      <c r="E42" s="91"/>
      <c r="F42" s="84" t="str">
        <f>IF(E42="","",VLOOKUP($A$1,目录!B:E,4))</f>
        <v/>
      </c>
      <c r="G42" s="84" t="str">
        <f t="shared" si="1"/>
        <v/>
      </c>
      <c r="H42"/>
    </row>
    <row r="43" spans="1:8">
      <c r="A43" s="33"/>
      <c r="B43" s="34"/>
      <c r="C43" s="78"/>
      <c r="D43" s="36" t="str">
        <f>IF(C43="","",VLOOKUP(C43,客户一览表!B:C,2))</f>
        <v/>
      </c>
      <c r="E43" s="91"/>
      <c r="F43" s="84" t="str">
        <f>IF(E43="","",VLOOKUP($A$1,目录!B:E,4))</f>
        <v/>
      </c>
      <c r="G43" s="84" t="str">
        <f t="shared" si="1"/>
        <v/>
      </c>
      <c r="H43"/>
    </row>
    <row r="44" spans="1:8">
      <c r="A44" s="33"/>
      <c r="B44" s="34"/>
      <c r="C44" s="78"/>
      <c r="D44" s="36" t="str">
        <f>IF(C44="","",VLOOKUP(C44,客户一览表!B:C,2))</f>
        <v/>
      </c>
      <c r="E44" s="91"/>
      <c r="F44" s="84" t="str">
        <f>IF(E44="","",VLOOKUP($A$1,目录!B:E,4))</f>
        <v/>
      </c>
      <c r="G44" s="84" t="str">
        <f t="shared" si="1"/>
        <v/>
      </c>
      <c r="H44"/>
    </row>
    <row r="45" spans="1:8">
      <c r="A45" s="33"/>
      <c r="B45" s="34"/>
      <c r="C45" s="78"/>
      <c r="D45" s="36" t="str">
        <f>IF(C45="","",VLOOKUP(C45,客户一览表!B:C,2))</f>
        <v/>
      </c>
      <c r="E45" s="91"/>
      <c r="F45" s="84" t="str">
        <f>IF(E45="","",VLOOKUP($A$1,目录!B:E,4))</f>
        <v/>
      </c>
      <c r="G45" s="84" t="str">
        <f t="shared" si="1"/>
        <v/>
      </c>
      <c r="H45"/>
    </row>
    <row r="46" spans="1:8">
      <c r="A46" s="33"/>
      <c r="B46" s="34"/>
      <c r="C46" s="78"/>
      <c r="D46" s="36" t="str">
        <f>IF(C46="","",VLOOKUP(C46,客户一览表!B:C,2))</f>
        <v/>
      </c>
      <c r="E46" s="91"/>
      <c r="F46" s="84" t="str">
        <f>IF(E46="","",VLOOKUP($A$1,目录!B:E,4))</f>
        <v/>
      </c>
      <c r="G46" s="84" t="str">
        <f t="shared" si="1"/>
        <v/>
      </c>
      <c r="H46"/>
    </row>
    <row r="47" spans="1:8">
      <c r="A47" s="33"/>
      <c r="B47" s="34"/>
      <c r="C47" s="78"/>
      <c r="D47" s="36" t="str">
        <f>IF(C47="","",VLOOKUP(C47,客户一览表!B:C,2))</f>
        <v/>
      </c>
      <c r="E47" s="91"/>
      <c r="F47" s="84" t="str">
        <f>IF(E47="","",VLOOKUP($A$1,目录!B:E,4))</f>
        <v/>
      </c>
      <c r="G47" s="84" t="str">
        <f t="shared" si="1"/>
        <v/>
      </c>
      <c r="H47"/>
    </row>
    <row r="48" spans="1:8">
      <c r="A48" s="33"/>
      <c r="B48" s="34"/>
      <c r="C48" s="78"/>
      <c r="D48" s="36" t="str">
        <f>IF(C48="","",VLOOKUP(C48,客户一览表!B:C,2))</f>
        <v/>
      </c>
      <c r="E48" s="91"/>
      <c r="F48" s="84" t="str">
        <f>IF(E48="","",VLOOKUP($A$1,目录!B:E,4))</f>
        <v/>
      </c>
      <c r="G48" s="84" t="str">
        <f t="shared" si="1"/>
        <v/>
      </c>
      <c r="H48"/>
    </row>
    <row r="49" spans="1:8">
      <c r="A49" s="33"/>
      <c r="B49" s="34"/>
      <c r="C49" s="78"/>
      <c r="D49" s="36" t="str">
        <f>IF(C49="","",VLOOKUP(C49,客户一览表!B:C,2))</f>
        <v/>
      </c>
      <c r="E49" s="91"/>
      <c r="F49" s="84" t="str">
        <f>IF(E49="","",VLOOKUP($A$1,目录!B:E,4))</f>
        <v/>
      </c>
      <c r="G49" s="84" t="str">
        <f t="shared" si="1"/>
        <v/>
      </c>
      <c r="H49"/>
    </row>
    <row r="50" spans="1:8">
      <c r="A50" s="33"/>
      <c r="B50" s="34"/>
      <c r="C50" s="78"/>
      <c r="D50" s="36" t="str">
        <f>IF(C50="","",VLOOKUP(C50,客户一览表!B:C,2))</f>
        <v/>
      </c>
      <c r="E50" s="91"/>
      <c r="F50" s="84" t="str">
        <f>IF(E50="","",VLOOKUP($A$1,目录!B:E,4))</f>
        <v/>
      </c>
      <c r="G50" s="84" t="str">
        <f t="shared" si="1"/>
        <v/>
      </c>
      <c r="H50"/>
    </row>
    <row r="51" spans="1:8">
      <c r="A51" s="33"/>
      <c r="B51" s="34"/>
      <c r="C51" s="78"/>
      <c r="D51" s="36" t="str">
        <f>IF(C51="","",VLOOKUP(C51,客户一览表!B:C,2))</f>
        <v/>
      </c>
      <c r="E51" s="91"/>
      <c r="F51" s="84" t="str">
        <f>IF(E51="","",VLOOKUP($A$1,目录!B:E,4))</f>
        <v/>
      </c>
      <c r="G51" s="84" t="str">
        <f t="shared" si="1"/>
        <v/>
      </c>
      <c r="H51"/>
    </row>
    <row r="52" spans="1:8">
      <c r="A52" s="33"/>
      <c r="B52" s="34"/>
      <c r="C52" s="78"/>
      <c r="D52" s="36" t="str">
        <f>IF(C52="","",VLOOKUP(C52,客户一览表!B:C,2))</f>
        <v/>
      </c>
      <c r="E52" s="91"/>
      <c r="F52" s="84" t="str">
        <f>IF(E52="","",VLOOKUP($A$1,目录!B:E,4))</f>
        <v/>
      </c>
      <c r="G52" s="84" t="str">
        <f t="shared" si="1"/>
        <v/>
      </c>
      <c r="H52"/>
    </row>
    <row r="53" spans="1:8">
      <c r="A53" s="33"/>
      <c r="B53" s="34"/>
      <c r="C53" s="78"/>
      <c r="D53" s="36" t="str">
        <f>IF(C53="","",VLOOKUP(C53,客户一览表!B:C,2))</f>
        <v/>
      </c>
      <c r="E53" s="91"/>
      <c r="F53" s="84" t="str">
        <f>IF(E53="","",VLOOKUP($A$1,目录!B:E,4))</f>
        <v/>
      </c>
      <c r="G53" s="84" t="str">
        <f t="shared" si="1"/>
        <v/>
      </c>
      <c r="H53"/>
    </row>
    <row r="54" spans="1:8" ht="14.25" thickBot="1">
      <c r="A54" s="42"/>
      <c r="B54" s="62"/>
      <c r="C54" s="79"/>
      <c r="D54" s="64" t="str">
        <f>IF(C54="","",VLOOKUP(C54,客户一览表!B:C,2))</f>
        <v/>
      </c>
      <c r="E54" s="92"/>
      <c r="F54" s="85" t="str">
        <f>IF(E54="","",VLOOKUP($A$1,目录!B:E,4))</f>
        <v/>
      </c>
      <c r="G54" s="85" t="str">
        <f t="shared" si="1"/>
        <v/>
      </c>
      <c r="H54"/>
    </row>
  </sheetData>
  <sheetCalcPr fullCalcOnLoad="1"/>
  <phoneticPr fontId="2"/>
  <dataValidations count="1">
    <dataValidation type="list" allowBlank="1" showInputMessage="1" showErrorMessage="1" sqref="C4:C54">
      <formula1>得意先コード</formula1>
    </dataValidation>
  </dataValidations>
  <hyperlinks>
    <hyperlink ref="G1" location="目录!A1" display="目次へ"/>
  </hyperlinks>
  <pageMargins left="0.78740157480314965" right="0.78740157480314965" top="0.98425196850393704" bottom="0.98425196850393704" header="0.51181102362204722" footer="0.51181102362204722"/>
  <pageSetup paperSize="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4"/>
  <sheetViews>
    <sheetView showGridLines="0" workbookViewId="0"/>
  </sheetViews>
  <sheetFormatPr defaultRowHeight="13.5"/>
  <cols>
    <col min="1" max="3" width="8" customWidth="1"/>
    <col min="4" max="4" width="33.5" customWidth="1"/>
    <col min="5" max="6" width="11.625" customWidth="1"/>
    <col min="7" max="7" width="8" customWidth="1"/>
    <col min="8" max="8" width="9.125" customWidth="1"/>
    <col min="9" max="9" width="1.375" customWidth="1"/>
    <col min="10" max="10" width="1.875" customWidth="1"/>
    <col min="20" max="20" width="27" bestFit="1" customWidth="1"/>
  </cols>
  <sheetData>
    <row r="1" spans="1:8" ht="26.25" thickBot="1">
      <c r="A1" s="24" t="s">
        <v>0</v>
      </c>
      <c r="B1" s="25"/>
      <c r="C1" s="48" t="s">
        <v>25</v>
      </c>
      <c r="D1" s="25"/>
      <c r="E1" s="51" t="s">
        <v>27</v>
      </c>
      <c r="F1" s="52"/>
      <c r="G1" s="26" t="s">
        <v>11</v>
      </c>
    </row>
    <row r="2" spans="1:8" ht="6" customHeight="1" thickTop="1" thickBot="1">
      <c r="A2" s="3"/>
      <c r="B2" s="3"/>
      <c r="C2" s="3"/>
      <c r="D2" s="76"/>
      <c r="E2" s="3"/>
      <c r="F2" s="3"/>
      <c r="G2" s="3"/>
      <c r="H2" s="3"/>
    </row>
    <row r="3" spans="1:8" ht="32.25" customHeight="1" thickBot="1">
      <c r="A3" s="4" t="s">
        <v>12</v>
      </c>
      <c r="B3" s="27" t="s">
        <v>13</v>
      </c>
      <c r="C3" s="28" t="s">
        <v>39</v>
      </c>
      <c r="D3" s="75" t="s">
        <v>40</v>
      </c>
      <c r="E3" s="5" t="s">
        <v>14</v>
      </c>
      <c r="F3" s="5" t="s">
        <v>2</v>
      </c>
      <c r="G3" s="5" t="s">
        <v>15</v>
      </c>
    </row>
    <row r="4" spans="1:8">
      <c r="A4" s="30">
        <v>1</v>
      </c>
      <c r="B4" s="31">
        <v>38000</v>
      </c>
      <c r="C4" s="70">
        <v>1</v>
      </c>
      <c r="D4" s="74" t="str">
        <f>IF(C4="","",VLOOKUP(C4,客户一览表!B:C,2))</f>
        <v>玲珑市场</v>
      </c>
      <c r="E4" s="72">
        <v>25</v>
      </c>
      <c r="F4" s="32">
        <f>IF(E4="","",VLOOKUP($A$1,目录!B:E,4))</f>
        <v>200</v>
      </c>
      <c r="G4" s="32">
        <f>IF(E4="","",E4*F4)</f>
        <v>5000</v>
      </c>
    </row>
    <row r="5" spans="1:8">
      <c r="A5" s="33">
        <v>4</v>
      </c>
      <c r="B5" s="34">
        <v>38005</v>
      </c>
      <c r="C5" s="71">
        <v>2</v>
      </c>
      <c r="D5" s="36" t="str">
        <f>IF(C5="","",VLOOKUP(C5,客户一览表!B:C,2))</f>
        <v>好邻居超市</v>
      </c>
      <c r="E5" s="73">
        <v>70</v>
      </c>
      <c r="F5" s="38">
        <f>IF(E5="","",VLOOKUP($A$1,目录!B:E,4))</f>
        <v>200</v>
      </c>
      <c r="G5" s="36">
        <f>IF(E5="","",E5*F5)</f>
        <v>14000</v>
      </c>
    </row>
    <row r="6" spans="1:8">
      <c r="A6" s="33">
        <v>12</v>
      </c>
      <c r="B6" s="34">
        <v>38018</v>
      </c>
      <c r="C6" s="35">
        <v>1</v>
      </c>
      <c r="D6" s="36" t="str">
        <f>IF(C6="","",VLOOKUP(C6,客户一览表!B:C,2))</f>
        <v>玲珑市场</v>
      </c>
      <c r="E6" s="37">
        <v>25</v>
      </c>
      <c r="F6" s="38">
        <f>IF(E6="","",VLOOKUP($A$1,目录!B:E,4))</f>
        <v>200</v>
      </c>
      <c r="G6" s="36">
        <f t="shared" ref="G6:G37" si="0">IF(E6="","",E6*F6)</f>
        <v>5000</v>
      </c>
    </row>
    <row r="7" spans="1:8">
      <c r="A7" s="33"/>
      <c r="B7" s="34"/>
      <c r="C7" s="35"/>
      <c r="D7" s="36" t="str">
        <f>IF(C7="","",VLOOKUP(C7,客户一览表!B:C,2))</f>
        <v/>
      </c>
      <c r="E7" s="37"/>
      <c r="F7" s="38" t="str">
        <f>IF(E7="","",VLOOKUP($A$1,目录!B:E,4))</f>
        <v/>
      </c>
      <c r="G7" s="36" t="str">
        <f t="shared" si="0"/>
        <v/>
      </c>
    </row>
    <row r="8" spans="1:8">
      <c r="A8" s="33"/>
      <c r="B8" s="34"/>
      <c r="C8" s="35"/>
      <c r="D8" s="36" t="str">
        <f>IF(C8="","",VLOOKUP(C8,客户一览表!B:C,2))</f>
        <v/>
      </c>
      <c r="E8" s="37"/>
      <c r="F8" s="38" t="str">
        <f>IF(E8="","",VLOOKUP($A$1,目录!B:E,4))</f>
        <v/>
      </c>
      <c r="G8" s="36" t="str">
        <f t="shared" si="0"/>
        <v/>
      </c>
    </row>
    <row r="9" spans="1:8">
      <c r="A9" s="33"/>
      <c r="B9" s="34"/>
      <c r="C9" s="35"/>
      <c r="D9" s="36" t="str">
        <f>IF(C9="","",VLOOKUP(C9,客户一览表!B:C,2))</f>
        <v/>
      </c>
      <c r="E9" s="37"/>
      <c r="F9" s="38" t="str">
        <f>IF(E9="","",VLOOKUP($A$1,目录!B:E,4))</f>
        <v/>
      </c>
      <c r="G9" s="36" t="str">
        <f t="shared" si="0"/>
        <v/>
      </c>
    </row>
    <row r="10" spans="1:8">
      <c r="A10" s="33"/>
      <c r="B10" s="34"/>
      <c r="C10" s="35"/>
      <c r="D10" s="36" t="str">
        <f>IF(C10="","",VLOOKUP(C10,客户一览表!B:C,2))</f>
        <v/>
      </c>
      <c r="E10" s="37"/>
      <c r="F10" s="38" t="str">
        <f>IF(E10="","",VLOOKUP($A$1,目录!B:E,4))</f>
        <v/>
      </c>
      <c r="G10" s="36" t="str">
        <f t="shared" si="0"/>
        <v/>
      </c>
    </row>
    <row r="11" spans="1:8">
      <c r="A11" s="33"/>
      <c r="B11" s="34"/>
      <c r="C11" s="35"/>
      <c r="D11" s="36" t="str">
        <f>IF(C11="","",VLOOKUP(C11,客户一览表!B:C,2))</f>
        <v/>
      </c>
      <c r="E11" s="37"/>
      <c r="F11" s="38" t="str">
        <f>IF(E11="","",VLOOKUP($A$1,目录!B:E,4))</f>
        <v/>
      </c>
      <c r="G11" s="36" t="str">
        <f t="shared" si="0"/>
        <v/>
      </c>
    </row>
    <row r="12" spans="1:8">
      <c r="A12" s="33"/>
      <c r="B12" s="34"/>
      <c r="C12" s="35"/>
      <c r="D12" s="36" t="str">
        <f>IF(C12="","",VLOOKUP(C12,客户一览表!B:C,2))</f>
        <v/>
      </c>
      <c r="E12" s="37"/>
      <c r="F12" s="38" t="str">
        <f>IF(E12="","",VLOOKUP($A$1,目录!B:E,4))</f>
        <v/>
      </c>
      <c r="G12" s="36" t="str">
        <f t="shared" si="0"/>
        <v/>
      </c>
    </row>
    <row r="13" spans="1:8">
      <c r="A13" s="33"/>
      <c r="B13" s="34"/>
      <c r="C13" s="35"/>
      <c r="D13" s="36" t="str">
        <f>IF(C13="","",VLOOKUP(C13,客户一览表!B:C,2))</f>
        <v/>
      </c>
      <c r="E13" s="37"/>
      <c r="F13" s="38" t="str">
        <f>IF(E13="","",VLOOKUP($A$1,目录!B:E,4))</f>
        <v/>
      </c>
      <c r="G13" s="36" t="str">
        <f t="shared" si="0"/>
        <v/>
      </c>
    </row>
    <row r="14" spans="1:8">
      <c r="A14" s="33"/>
      <c r="B14" s="34"/>
      <c r="C14" s="35"/>
      <c r="D14" s="36" t="str">
        <f>IF(C14="","",VLOOKUP(C14,客户一览表!B:C,2))</f>
        <v/>
      </c>
      <c r="E14" s="37"/>
      <c r="F14" s="38" t="str">
        <f>IF(E14="","",VLOOKUP($A$1,目录!B:E,4))</f>
        <v/>
      </c>
      <c r="G14" s="36" t="str">
        <f t="shared" si="0"/>
        <v/>
      </c>
    </row>
    <row r="15" spans="1:8">
      <c r="A15" s="33"/>
      <c r="B15" s="34"/>
      <c r="C15" s="35"/>
      <c r="D15" s="36" t="str">
        <f>IF(C15="","",VLOOKUP(C15,客户一览表!B:C,2))</f>
        <v/>
      </c>
      <c r="E15" s="37"/>
      <c r="F15" s="38" t="str">
        <f>IF(E15="","",VLOOKUP($A$1,目录!B:E,4))</f>
        <v/>
      </c>
      <c r="G15" s="36" t="str">
        <f t="shared" si="0"/>
        <v/>
      </c>
    </row>
    <row r="16" spans="1:8">
      <c r="A16" s="33"/>
      <c r="B16" s="34"/>
      <c r="C16" s="35"/>
      <c r="D16" s="36" t="str">
        <f>IF(C16="","",VLOOKUP(C16,客户一览表!B:C,2))</f>
        <v/>
      </c>
      <c r="E16" s="37"/>
      <c r="F16" s="38" t="str">
        <f>IF(E16="","",VLOOKUP($A$1,目录!B:E,4))</f>
        <v/>
      </c>
      <c r="G16" s="36" t="str">
        <f t="shared" si="0"/>
        <v/>
      </c>
    </row>
    <row r="17" spans="1:7">
      <c r="A17" s="33"/>
      <c r="B17" s="34"/>
      <c r="C17" s="35"/>
      <c r="D17" s="36" t="str">
        <f>IF(C17="","",VLOOKUP(C17,客户一览表!B:C,2))</f>
        <v/>
      </c>
      <c r="E17" s="37"/>
      <c r="F17" s="38" t="str">
        <f>IF(E17="","",VLOOKUP($A$1,目录!B:E,4))</f>
        <v/>
      </c>
      <c r="G17" s="36" t="str">
        <f t="shared" si="0"/>
        <v/>
      </c>
    </row>
    <row r="18" spans="1:7">
      <c r="A18" s="33"/>
      <c r="B18" s="34"/>
      <c r="C18" s="35"/>
      <c r="D18" s="36" t="str">
        <f>IF(C18="","",VLOOKUP(C18,客户一览表!B:C,2))</f>
        <v/>
      </c>
      <c r="E18" s="37"/>
      <c r="F18" s="38" t="str">
        <f>IF(E18="","",VLOOKUP($A$1,目录!B:E,4))</f>
        <v/>
      </c>
      <c r="G18" s="36" t="str">
        <f t="shared" si="0"/>
        <v/>
      </c>
    </row>
    <row r="19" spans="1:7">
      <c r="A19" s="33"/>
      <c r="B19" s="34"/>
      <c r="C19" s="35"/>
      <c r="D19" s="36" t="str">
        <f>IF(C19="","",VLOOKUP(C19,客户一览表!B:C,2))</f>
        <v/>
      </c>
      <c r="E19" s="37"/>
      <c r="F19" s="38" t="str">
        <f>IF(E19="","",VLOOKUP($A$1,目录!B:E,4))</f>
        <v/>
      </c>
      <c r="G19" s="36" t="str">
        <f t="shared" si="0"/>
        <v/>
      </c>
    </row>
    <row r="20" spans="1:7">
      <c r="A20" s="33"/>
      <c r="B20" s="34"/>
      <c r="C20" s="35"/>
      <c r="D20" s="36" t="str">
        <f>IF(C20="","",VLOOKUP(C20,客户一览表!B:C,2))</f>
        <v/>
      </c>
      <c r="E20" s="37"/>
      <c r="F20" s="38" t="str">
        <f>IF(E20="","",VLOOKUP($A$1,目录!B:E,4))</f>
        <v/>
      </c>
      <c r="G20" s="36" t="str">
        <f t="shared" si="0"/>
        <v/>
      </c>
    </row>
    <row r="21" spans="1:7">
      <c r="A21" s="33"/>
      <c r="B21" s="34"/>
      <c r="C21" s="35"/>
      <c r="D21" s="36" t="str">
        <f>IF(C21="","",VLOOKUP(C21,客户一览表!B:C,2))</f>
        <v/>
      </c>
      <c r="E21" s="37"/>
      <c r="F21" s="38" t="str">
        <f>IF(E21="","",VLOOKUP($A$1,目录!B:E,4))</f>
        <v/>
      </c>
      <c r="G21" s="36" t="str">
        <f t="shared" si="0"/>
        <v/>
      </c>
    </row>
    <row r="22" spans="1:7">
      <c r="A22" s="33"/>
      <c r="B22" s="34"/>
      <c r="C22" s="35"/>
      <c r="D22" s="36" t="str">
        <f>IF(C22="","",VLOOKUP(C22,客户一览表!B:C,2))</f>
        <v/>
      </c>
      <c r="E22" s="37"/>
      <c r="F22" s="38" t="str">
        <f>IF(E22="","",VLOOKUP($A$1,目录!B:E,4))</f>
        <v/>
      </c>
      <c r="G22" s="36" t="str">
        <f t="shared" si="0"/>
        <v/>
      </c>
    </row>
    <row r="23" spans="1:7">
      <c r="A23" s="33"/>
      <c r="B23" s="34"/>
      <c r="C23" s="35"/>
      <c r="D23" s="36" t="str">
        <f>IF(C23="","",VLOOKUP(C23,客户一览表!B:C,2))</f>
        <v/>
      </c>
      <c r="E23" s="37"/>
      <c r="F23" s="38" t="str">
        <f>IF(E23="","",VLOOKUP($A$1,目录!B:E,4))</f>
        <v/>
      </c>
      <c r="G23" s="36" t="str">
        <f t="shared" si="0"/>
        <v/>
      </c>
    </row>
    <row r="24" spans="1:7">
      <c r="A24" s="33"/>
      <c r="B24" s="34"/>
      <c r="C24" s="35"/>
      <c r="D24" s="36" t="str">
        <f>IF(C24="","",VLOOKUP(C24,客户一览表!B:C,2))</f>
        <v/>
      </c>
      <c r="E24" s="37"/>
      <c r="F24" s="38" t="str">
        <f>IF(E24="","",VLOOKUP($A$1,目录!B:E,4))</f>
        <v/>
      </c>
      <c r="G24" s="36" t="str">
        <f t="shared" si="0"/>
        <v/>
      </c>
    </row>
    <row r="25" spans="1:7">
      <c r="A25" s="33"/>
      <c r="B25" s="34"/>
      <c r="C25" s="35"/>
      <c r="D25" s="36" t="str">
        <f>IF(C25="","",VLOOKUP(C25,客户一览表!B:C,2))</f>
        <v/>
      </c>
      <c r="E25" s="37"/>
      <c r="F25" s="38" t="str">
        <f>IF(E25="","",VLOOKUP($A$1,目录!B:E,4))</f>
        <v/>
      </c>
      <c r="G25" s="36" t="str">
        <f t="shared" si="0"/>
        <v/>
      </c>
    </row>
    <row r="26" spans="1:7">
      <c r="A26" s="33"/>
      <c r="B26" s="34"/>
      <c r="C26" s="35"/>
      <c r="D26" s="36" t="str">
        <f>IF(C26="","",VLOOKUP(C26,客户一览表!B:C,2))</f>
        <v/>
      </c>
      <c r="E26" s="37"/>
      <c r="F26" s="38" t="str">
        <f>IF(E26="","",VLOOKUP($A$1,目录!B:E,4))</f>
        <v/>
      </c>
      <c r="G26" s="36" t="str">
        <f t="shared" si="0"/>
        <v/>
      </c>
    </row>
    <row r="27" spans="1:7">
      <c r="A27" s="33"/>
      <c r="B27" s="34"/>
      <c r="C27" s="35"/>
      <c r="D27" s="36" t="str">
        <f>IF(C27="","",VLOOKUP(C27,客户一览表!B:C,2))</f>
        <v/>
      </c>
      <c r="E27" s="37"/>
      <c r="F27" s="38" t="str">
        <f>IF(E27="","",VLOOKUP($A$1,目录!B:E,4))</f>
        <v/>
      </c>
      <c r="G27" s="36" t="str">
        <f t="shared" si="0"/>
        <v/>
      </c>
    </row>
    <row r="28" spans="1:7">
      <c r="A28" s="33"/>
      <c r="B28" s="34"/>
      <c r="C28" s="35"/>
      <c r="D28" s="36" t="str">
        <f>IF(C28="","",VLOOKUP(C28,客户一览表!B:C,2))</f>
        <v/>
      </c>
      <c r="E28" s="37"/>
      <c r="F28" s="38" t="str">
        <f>IF(E28="","",VLOOKUP($A$1,目录!B:E,4))</f>
        <v/>
      </c>
      <c r="G28" s="36" t="str">
        <f t="shared" si="0"/>
        <v/>
      </c>
    </row>
    <row r="29" spans="1:7">
      <c r="A29" s="33"/>
      <c r="B29" s="34"/>
      <c r="C29" s="35"/>
      <c r="D29" s="36" t="str">
        <f>IF(C29="","",VLOOKUP(C29,客户一览表!B:C,2))</f>
        <v/>
      </c>
      <c r="E29" s="37"/>
      <c r="F29" s="38" t="str">
        <f>IF(E29="","",VLOOKUP($A$1,目录!B:E,4))</f>
        <v/>
      </c>
      <c r="G29" s="36" t="str">
        <f t="shared" si="0"/>
        <v/>
      </c>
    </row>
    <row r="30" spans="1:7">
      <c r="A30" s="33"/>
      <c r="B30" s="34"/>
      <c r="C30" s="35"/>
      <c r="D30" s="36" t="str">
        <f>IF(C30="","",VLOOKUP(C30,客户一览表!B:C,2))</f>
        <v/>
      </c>
      <c r="E30" s="37"/>
      <c r="F30" s="38" t="str">
        <f>IF(E30="","",VLOOKUP($A$1,目录!B:E,4))</f>
        <v/>
      </c>
      <c r="G30" s="36" t="str">
        <f t="shared" si="0"/>
        <v/>
      </c>
    </row>
    <row r="31" spans="1:7">
      <c r="A31" s="33"/>
      <c r="B31" s="34"/>
      <c r="C31" s="35"/>
      <c r="D31" s="36" t="str">
        <f>IF(C31="","",VLOOKUP(C31,客户一览表!B:C,2))</f>
        <v/>
      </c>
      <c r="E31" s="37"/>
      <c r="F31" s="38" t="str">
        <f>IF(E31="","",VLOOKUP($A$1,目录!B:E,4))</f>
        <v/>
      </c>
      <c r="G31" s="36" t="str">
        <f t="shared" si="0"/>
        <v/>
      </c>
    </row>
    <row r="32" spans="1:7">
      <c r="A32" s="33"/>
      <c r="B32" s="34"/>
      <c r="C32" s="35"/>
      <c r="D32" s="36" t="str">
        <f>IF(C32="","",VLOOKUP(C32,客户一览表!B:C,2))</f>
        <v/>
      </c>
      <c r="E32" s="37"/>
      <c r="F32" s="38" t="str">
        <f>IF(E32="","",VLOOKUP($A$1,目录!B:E,4))</f>
        <v/>
      </c>
      <c r="G32" s="36" t="str">
        <f t="shared" si="0"/>
        <v/>
      </c>
    </row>
    <row r="33" spans="1:7">
      <c r="A33" s="33"/>
      <c r="B33" s="34"/>
      <c r="C33" s="35"/>
      <c r="D33" s="36" t="str">
        <f>IF(C33="","",VLOOKUP(C33,客户一览表!B:C,2))</f>
        <v/>
      </c>
      <c r="E33" s="37"/>
      <c r="F33" s="38" t="str">
        <f>IF(E33="","",VLOOKUP($A$1,目录!B:E,4))</f>
        <v/>
      </c>
      <c r="G33" s="36" t="str">
        <f t="shared" si="0"/>
        <v/>
      </c>
    </row>
    <row r="34" spans="1:7">
      <c r="A34" s="33"/>
      <c r="B34" s="34"/>
      <c r="C34" s="35"/>
      <c r="D34" s="36" t="str">
        <f>IF(C34="","",VLOOKUP(C34,客户一览表!B:C,2))</f>
        <v/>
      </c>
      <c r="E34" s="37"/>
      <c r="F34" s="38" t="str">
        <f>IF(E34="","",VLOOKUP($A$1,目录!B:E,4))</f>
        <v/>
      </c>
      <c r="G34" s="36" t="str">
        <f t="shared" si="0"/>
        <v/>
      </c>
    </row>
    <row r="35" spans="1:7">
      <c r="A35" s="33"/>
      <c r="B35" s="34"/>
      <c r="C35" s="35"/>
      <c r="D35" s="36" t="str">
        <f>IF(C35="","",VLOOKUP(C35,客户一览表!B:C,2))</f>
        <v/>
      </c>
      <c r="E35" s="37"/>
      <c r="F35" s="38" t="str">
        <f>IF(E35="","",VLOOKUP($A$1,目录!B:E,4))</f>
        <v/>
      </c>
      <c r="G35" s="36" t="str">
        <f t="shared" si="0"/>
        <v/>
      </c>
    </row>
    <row r="36" spans="1:7">
      <c r="A36" s="33"/>
      <c r="B36" s="34"/>
      <c r="C36" s="35"/>
      <c r="D36" s="36" t="str">
        <f>IF(C36="","",VLOOKUP(C36,客户一览表!B:C,2))</f>
        <v/>
      </c>
      <c r="E36" s="37"/>
      <c r="F36" s="38" t="str">
        <f>IF(E36="","",VLOOKUP($A$1,目录!B:E,4))</f>
        <v/>
      </c>
      <c r="G36" s="36" t="str">
        <f t="shared" si="0"/>
        <v/>
      </c>
    </row>
    <row r="37" spans="1:7">
      <c r="A37" s="33"/>
      <c r="B37" s="34"/>
      <c r="C37" s="35"/>
      <c r="D37" s="36" t="str">
        <f>IF(C37="","",VLOOKUP(C37,客户一览表!B:C,2))</f>
        <v/>
      </c>
      <c r="E37" s="37"/>
      <c r="F37" s="38" t="str">
        <f>IF(E37="","",VLOOKUP($A$1,目录!B:E,4))</f>
        <v/>
      </c>
      <c r="G37" s="36" t="str">
        <f t="shared" si="0"/>
        <v/>
      </c>
    </row>
    <row r="38" spans="1:7">
      <c r="A38" s="33"/>
      <c r="B38" s="34"/>
      <c r="C38" s="35"/>
      <c r="D38" s="36" t="str">
        <f>IF(C38="","",VLOOKUP(C38,客户一览表!B:C,2))</f>
        <v/>
      </c>
      <c r="E38" s="37"/>
      <c r="F38" s="38" t="str">
        <f>IF(E38="","",VLOOKUP($A$1,目录!B:E,4))</f>
        <v/>
      </c>
      <c r="G38" s="36" t="str">
        <f t="shared" ref="G38:G54" si="1">IF(E38="","",E38*F38)</f>
        <v/>
      </c>
    </row>
    <row r="39" spans="1:7">
      <c r="A39" s="33"/>
      <c r="B39" s="34"/>
      <c r="C39" s="35"/>
      <c r="D39" s="36" t="str">
        <f>IF(C39="","",VLOOKUP(C39,客户一览表!B:C,2))</f>
        <v/>
      </c>
      <c r="E39" s="37"/>
      <c r="F39" s="38" t="str">
        <f>IF(E39="","",VLOOKUP($A$1,目录!B:E,4))</f>
        <v/>
      </c>
      <c r="G39" s="36" t="str">
        <f t="shared" si="1"/>
        <v/>
      </c>
    </row>
    <row r="40" spans="1:7">
      <c r="A40" s="33"/>
      <c r="B40" s="34"/>
      <c r="C40" s="35"/>
      <c r="D40" s="36" t="str">
        <f>IF(C40="","",VLOOKUP(C40,客户一览表!B:C,2))</f>
        <v/>
      </c>
      <c r="E40" s="37"/>
      <c r="F40" s="38" t="str">
        <f>IF(E40="","",VLOOKUP($A$1,目录!B:E,4))</f>
        <v/>
      </c>
      <c r="G40" s="36" t="str">
        <f t="shared" si="1"/>
        <v/>
      </c>
    </row>
    <row r="41" spans="1:7">
      <c r="A41" s="33"/>
      <c r="B41" s="34"/>
      <c r="C41" s="35"/>
      <c r="D41" s="36" t="str">
        <f>IF(C41="","",VLOOKUP(C41,客户一览表!B:C,2))</f>
        <v/>
      </c>
      <c r="E41" s="37"/>
      <c r="F41" s="38" t="str">
        <f>IF(E41="","",VLOOKUP($A$1,目录!B:E,4))</f>
        <v/>
      </c>
      <c r="G41" s="36" t="str">
        <f t="shared" si="1"/>
        <v/>
      </c>
    </row>
    <row r="42" spans="1:7">
      <c r="A42" s="33"/>
      <c r="B42" s="34"/>
      <c r="C42" s="35"/>
      <c r="D42" s="36" t="str">
        <f>IF(C42="","",VLOOKUP(C42,客户一览表!B:C,2))</f>
        <v/>
      </c>
      <c r="E42" s="37"/>
      <c r="F42" s="38" t="str">
        <f>IF(E42="","",VLOOKUP($A$1,目录!B:E,4))</f>
        <v/>
      </c>
      <c r="G42" s="36" t="str">
        <f t="shared" si="1"/>
        <v/>
      </c>
    </row>
    <row r="43" spans="1:7">
      <c r="A43" s="33"/>
      <c r="B43" s="34"/>
      <c r="C43" s="35"/>
      <c r="D43" s="36" t="str">
        <f>IF(C43="","",VLOOKUP(C43,客户一览表!B:C,2))</f>
        <v/>
      </c>
      <c r="E43" s="37"/>
      <c r="F43" s="38" t="str">
        <f>IF(E43="","",VLOOKUP($A$1,目录!B:E,4))</f>
        <v/>
      </c>
      <c r="G43" s="36" t="str">
        <f t="shared" si="1"/>
        <v/>
      </c>
    </row>
    <row r="44" spans="1:7">
      <c r="A44" s="33"/>
      <c r="B44" s="34"/>
      <c r="C44" s="35"/>
      <c r="D44" s="36" t="str">
        <f>IF(C44="","",VLOOKUP(C44,客户一览表!B:C,2))</f>
        <v/>
      </c>
      <c r="E44" s="37"/>
      <c r="F44" s="38" t="str">
        <f>IF(E44="","",VLOOKUP($A$1,目录!B:E,4))</f>
        <v/>
      </c>
      <c r="G44" s="36" t="str">
        <f t="shared" si="1"/>
        <v/>
      </c>
    </row>
    <row r="45" spans="1:7">
      <c r="A45" s="33"/>
      <c r="B45" s="34"/>
      <c r="C45" s="35"/>
      <c r="D45" s="36" t="str">
        <f>IF(C45="","",VLOOKUP(C45,客户一览表!B:C,2))</f>
        <v/>
      </c>
      <c r="E45" s="37"/>
      <c r="F45" s="38" t="str">
        <f>IF(E45="","",VLOOKUP($A$1,目录!B:E,4))</f>
        <v/>
      </c>
      <c r="G45" s="36" t="str">
        <f t="shared" si="1"/>
        <v/>
      </c>
    </row>
    <row r="46" spans="1:7">
      <c r="A46" s="33"/>
      <c r="B46" s="34"/>
      <c r="C46" s="35"/>
      <c r="D46" s="36" t="str">
        <f>IF(C46="","",VLOOKUP(C46,客户一览表!B:C,2))</f>
        <v/>
      </c>
      <c r="E46" s="37"/>
      <c r="F46" s="38" t="str">
        <f>IF(E46="","",VLOOKUP($A$1,目录!B:E,4))</f>
        <v/>
      </c>
      <c r="G46" s="36" t="str">
        <f t="shared" si="1"/>
        <v/>
      </c>
    </row>
    <row r="47" spans="1:7">
      <c r="A47" s="33"/>
      <c r="B47" s="34"/>
      <c r="C47" s="35"/>
      <c r="D47" s="36" t="str">
        <f>IF(C47="","",VLOOKUP(C47,客户一览表!B:C,2))</f>
        <v/>
      </c>
      <c r="E47" s="37"/>
      <c r="F47" s="38" t="str">
        <f>IF(E47="","",VLOOKUP($A$1,目录!B:E,4))</f>
        <v/>
      </c>
      <c r="G47" s="36" t="str">
        <f t="shared" si="1"/>
        <v/>
      </c>
    </row>
    <row r="48" spans="1:7">
      <c r="A48" s="33"/>
      <c r="B48" s="34"/>
      <c r="C48" s="35"/>
      <c r="D48" s="36" t="str">
        <f>IF(C48="","",VLOOKUP(C48,客户一览表!B:C,2))</f>
        <v/>
      </c>
      <c r="E48" s="37"/>
      <c r="F48" s="38" t="str">
        <f>IF(E48="","",VLOOKUP($A$1,目录!B:E,4))</f>
        <v/>
      </c>
      <c r="G48" s="36" t="str">
        <f t="shared" si="1"/>
        <v/>
      </c>
    </row>
    <row r="49" spans="1:7">
      <c r="A49" s="33"/>
      <c r="B49" s="34"/>
      <c r="C49" s="35"/>
      <c r="D49" s="36" t="str">
        <f>IF(C49="","",VLOOKUP(C49,客户一览表!B:C,2))</f>
        <v/>
      </c>
      <c r="E49" s="37"/>
      <c r="F49" s="38" t="str">
        <f>IF(E49="","",VLOOKUP($A$1,目录!B:E,4))</f>
        <v/>
      </c>
      <c r="G49" s="36" t="str">
        <f t="shared" si="1"/>
        <v/>
      </c>
    </row>
    <row r="50" spans="1:7">
      <c r="A50" s="33"/>
      <c r="B50" s="34"/>
      <c r="C50" s="35"/>
      <c r="D50" s="36" t="str">
        <f>IF(C50="","",VLOOKUP(C50,客户一览表!B:C,2))</f>
        <v/>
      </c>
      <c r="E50" s="37"/>
      <c r="F50" s="38" t="str">
        <f>IF(E50="","",VLOOKUP($A$1,目录!B:E,4))</f>
        <v/>
      </c>
      <c r="G50" s="36" t="str">
        <f t="shared" si="1"/>
        <v/>
      </c>
    </row>
    <row r="51" spans="1:7">
      <c r="A51" s="33"/>
      <c r="B51" s="34"/>
      <c r="C51" s="35"/>
      <c r="D51" s="36" t="str">
        <f>IF(C51="","",VLOOKUP(C51,客户一览表!B:C,2))</f>
        <v/>
      </c>
      <c r="E51" s="37"/>
      <c r="F51" s="38" t="str">
        <f>IF(E51="","",VLOOKUP($A$1,目录!B:E,4))</f>
        <v/>
      </c>
      <c r="G51" s="36" t="str">
        <f t="shared" si="1"/>
        <v/>
      </c>
    </row>
    <row r="52" spans="1:7">
      <c r="A52" s="33"/>
      <c r="B52" s="34"/>
      <c r="C52" s="35"/>
      <c r="D52" s="36" t="str">
        <f>IF(C52="","",VLOOKUP(C52,客户一览表!B:C,2))</f>
        <v/>
      </c>
      <c r="E52" s="37"/>
      <c r="F52" s="38" t="str">
        <f>IF(E52="","",VLOOKUP($A$1,目录!B:E,4))</f>
        <v/>
      </c>
      <c r="G52" s="36" t="str">
        <f t="shared" si="1"/>
        <v/>
      </c>
    </row>
    <row r="53" spans="1:7">
      <c r="A53" s="33"/>
      <c r="B53" s="34"/>
      <c r="C53" s="35"/>
      <c r="D53" s="36" t="str">
        <f>IF(C53="","",VLOOKUP(C53,客户一览表!B:C,2))</f>
        <v/>
      </c>
      <c r="E53" s="37"/>
      <c r="F53" s="38" t="str">
        <f>IF(E53="","",VLOOKUP($A$1,目录!B:E,4))</f>
        <v/>
      </c>
      <c r="G53" s="36" t="str">
        <f t="shared" si="1"/>
        <v/>
      </c>
    </row>
    <row r="54" spans="1:7" ht="14.25" thickBot="1">
      <c r="A54" s="42"/>
      <c r="B54" s="62"/>
      <c r="C54" s="63"/>
      <c r="D54" s="64" t="str">
        <f>IF(C54="","",VLOOKUP(C54,客户一览表!B:C,2))</f>
        <v/>
      </c>
      <c r="E54" s="65"/>
      <c r="F54" s="38" t="str">
        <f>IF(E54="","",VLOOKUP($A$1,目录!B:E,4))</f>
        <v/>
      </c>
      <c r="G54" s="64" t="str">
        <f t="shared" si="1"/>
        <v/>
      </c>
    </row>
  </sheetData>
  <sheetCalcPr fullCalcOnLoad="1"/>
  <phoneticPr fontId="2"/>
  <dataValidations count="1">
    <dataValidation type="list" allowBlank="1" showInputMessage="1" showErrorMessage="1" sqref="C4:C54">
      <formula1>得意先コード</formula1>
    </dataValidation>
  </dataValidations>
  <hyperlinks>
    <hyperlink ref="G1" location="目录!A1" display="目次へ"/>
  </hyperlinks>
  <pageMargins left="0.78740157480314965" right="0.78740157480314965" top="0.98425196850393704" bottom="0.98425196850393704" header="0.51181102362204722" footer="0.51181102362204722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1"/>
  <sheetViews>
    <sheetView showGridLines="0" workbookViewId="0"/>
  </sheetViews>
  <sheetFormatPr defaultRowHeight="13.5"/>
  <cols>
    <col min="1" max="1" width="1.75" customWidth="1"/>
    <col min="2" max="2" width="10.25" bestFit="1" customWidth="1"/>
    <col min="3" max="3" width="27" bestFit="1" customWidth="1"/>
    <col min="4" max="4" width="6.375" bestFit="1" customWidth="1"/>
    <col min="5" max="5" width="16.625" bestFit="1" customWidth="1"/>
    <col min="16" max="16" width="27" bestFit="1" customWidth="1"/>
  </cols>
  <sheetData>
    <row r="1" spans="1:5" ht="22.5" customHeight="1" thickBot="1">
      <c r="A1" s="3"/>
      <c r="B1" s="4" t="s">
        <v>39</v>
      </c>
      <c r="C1" s="5" t="s">
        <v>40</v>
      </c>
      <c r="D1" s="5" t="s">
        <v>16</v>
      </c>
      <c r="E1" s="29" t="s">
        <v>17</v>
      </c>
    </row>
    <row r="2" spans="1:5">
      <c r="A2" s="3"/>
      <c r="B2" s="30">
        <v>1</v>
      </c>
      <c r="C2" s="49" t="s">
        <v>22</v>
      </c>
      <c r="D2" s="50" t="s">
        <v>23</v>
      </c>
      <c r="E2" s="39" t="s">
        <v>18</v>
      </c>
    </row>
    <row r="3" spans="1:5">
      <c r="A3" s="3"/>
      <c r="B3" s="33">
        <v>2</v>
      </c>
      <c r="C3" s="14" t="s">
        <v>21</v>
      </c>
      <c r="D3" s="40" t="s">
        <v>24</v>
      </c>
      <c r="E3" s="41" t="s">
        <v>18</v>
      </c>
    </row>
    <row r="4" spans="1:5">
      <c r="A4" s="3"/>
      <c r="B4" s="33">
        <v>3</v>
      </c>
      <c r="C4" s="14"/>
      <c r="D4" s="40"/>
      <c r="E4" s="41"/>
    </row>
    <row r="5" spans="1:5">
      <c r="A5" s="3"/>
      <c r="B5" s="33">
        <v>4</v>
      </c>
      <c r="C5" s="14"/>
      <c r="D5" s="40"/>
      <c r="E5" s="41"/>
    </row>
    <row r="6" spans="1:5">
      <c r="A6" s="3"/>
      <c r="B6" s="33">
        <v>5</v>
      </c>
      <c r="C6" s="14"/>
      <c r="D6" s="40"/>
      <c r="E6" s="41"/>
    </row>
    <row r="7" spans="1:5">
      <c r="A7" s="3"/>
      <c r="B7" s="33">
        <v>6</v>
      </c>
      <c r="C7" s="14"/>
      <c r="D7" s="40"/>
      <c r="E7" s="41"/>
    </row>
    <row r="8" spans="1:5">
      <c r="A8" s="3"/>
      <c r="B8" s="33">
        <v>7</v>
      </c>
      <c r="C8" s="14"/>
      <c r="D8" s="40"/>
      <c r="E8" s="41"/>
    </row>
    <row r="9" spans="1:5">
      <c r="A9" s="3"/>
      <c r="B9" s="33">
        <v>8</v>
      </c>
      <c r="C9" s="14"/>
      <c r="D9" s="40"/>
      <c r="E9" s="41"/>
    </row>
    <row r="10" spans="1:5">
      <c r="A10" s="3"/>
      <c r="B10" s="33">
        <v>9</v>
      </c>
      <c r="C10" s="14"/>
      <c r="D10" s="40"/>
      <c r="E10" s="41"/>
    </row>
    <row r="11" spans="1:5">
      <c r="A11" s="3"/>
      <c r="B11" s="33">
        <v>10</v>
      </c>
      <c r="C11" s="14"/>
      <c r="D11" s="40"/>
      <c r="E11" s="41"/>
    </row>
    <row r="12" spans="1:5">
      <c r="A12" s="3"/>
      <c r="B12" s="33">
        <v>11</v>
      </c>
      <c r="C12" s="14"/>
      <c r="D12" s="40"/>
      <c r="E12" s="41"/>
    </row>
    <row r="13" spans="1:5">
      <c r="A13" s="3"/>
      <c r="B13" s="33">
        <v>12</v>
      </c>
      <c r="C13" s="14"/>
      <c r="D13" s="40"/>
      <c r="E13" s="41"/>
    </row>
    <row r="14" spans="1:5">
      <c r="A14" s="3"/>
      <c r="B14" s="33">
        <v>13</v>
      </c>
      <c r="C14" s="14"/>
      <c r="D14" s="40"/>
      <c r="E14" s="41"/>
    </row>
    <row r="15" spans="1:5">
      <c r="A15" s="3"/>
      <c r="B15" s="33">
        <v>14</v>
      </c>
      <c r="C15" s="14"/>
      <c r="D15" s="40"/>
      <c r="E15" s="41"/>
    </row>
    <row r="16" spans="1:5">
      <c r="A16" s="3"/>
      <c r="B16" s="33">
        <v>15</v>
      </c>
      <c r="C16" s="14"/>
      <c r="D16" s="40"/>
      <c r="E16" s="41"/>
    </row>
    <row r="17" spans="1:5">
      <c r="A17" s="3"/>
      <c r="B17" s="33">
        <v>16</v>
      </c>
      <c r="C17" s="14"/>
      <c r="D17" s="40"/>
      <c r="E17" s="41"/>
    </row>
    <row r="18" spans="1:5">
      <c r="A18" s="3"/>
      <c r="B18" s="33">
        <v>17</v>
      </c>
      <c r="C18" s="14"/>
      <c r="D18" s="40"/>
      <c r="E18" s="41"/>
    </row>
    <row r="19" spans="1:5">
      <c r="A19" s="3"/>
      <c r="B19" s="33">
        <v>18</v>
      </c>
      <c r="C19" s="14"/>
      <c r="D19" s="40"/>
      <c r="E19" s="41"/>
    </row>
    <row r="20" spans="1:5">
      <c r="A20" s="3"/>
      <c r="B20" s="33">
        <v>19</v>
      </c>
      <c r="C20" s="14"/>
      <c r="D20" s="40"/>
      <c r="E20" s="41"/>
    </row>
    <row r="21" spans="1:5" ht="14.25" thickBot="1">
      <c r="A21" s="3"/>
      <c r="B21" s="42">
        <v>20</v>
      </c>
      <c r="C21" s="43"/>
      <c r="D21" s="44"/>
      <c r="E21" s="45"/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</vt:i4>
      </vt:variant>
    </vt:vector>
  </HeadingPairs>
  <TitlesOfParts>
    <vt:vector size="11" baseType="lpstr">
      <vt:lpstr>目录</vt:lpstr>
      <vt:lpstr>带鱼</vt:lpstr>
      <vt:lpstr>葡萄干</vt:lpstr>
      <vt:lpstr>客户一览表</vt:lpstr>
      <vt:lpstr>目录!Print_Area</vt:lpstr>
      <vt:lpstr>得意先コード</vt:lpstr>
      <vt:lpstr>得意先一覧</vt:lpstr>
      <vt:lpstr>客户一览表!商品コード</vt:lpstr>
      <vt:lpstr>商品コード</vt:lpstr>
      <vt:lpstr>客户一览表!商品一覧</vt:lpstr>
      <vt:lpstr>商品一覧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11</dc:title>
  <cp:keywords/>
  <dc:description/>
  <cp:lastModifiedBy>admin</cp:lastModifiedBy>
  <cp:lastPrinted>2003-06-13T08:25:14Z</cp:lastPrinted>
  <dcterms:created xsi:type="dcterms:W3CDTF">2003-03-19T15:00:00Z</dcterms:created>
  <dcterms:modified xsi:type="dcterms:W3CDTF">2012-06-27T06:54:42Z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TC012335182052</vt:lpwstr>
  </property>
</Properties>
</file>