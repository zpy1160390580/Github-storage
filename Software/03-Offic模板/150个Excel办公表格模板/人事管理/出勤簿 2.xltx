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270" windowWidth="12390" windowHeight="8640"/>
  </bookViews>
  <sheets>
    <sheet name="出勤簿" sheetId="1" r:id="rId1"/>
  </sheets>
  <definedNames>
    <definedName name="_xlnm.Print_Area" localSheetId="0">出勤簿!$A$1:$AF$37</definedName>
  </definedNames>
  <calcPr calcId="145621"/>
</workbook>
</file>

<file path=xl/calcChain.xml><?xml version="1.0" encoding="utf-8"?>
<calcChain xmlns="http://schemas.openxmlformats.org/spreadsheetml/2006/main">
  <c r="AF3" i="1" l="1"/>
  <c r="B3" i="1"/>
  <c r="C3" i="1" s="1"/>
  <c r="D3" i="1" s="1"/>
  <c r="AF4" i="1"/>
  <c r="B4" i="1" l="1"/>
  <c r="E3" i="1"/>
  <c r="D4" i="1"/>
  <c r="C4" i="1"/>
  <c r="F3" i="1" l="1"/>
  <c r="E4" i="1"/>
  <c r="G3" i="1" l="1"/>
  <c r="F4" i="1"/>
  <c r="H3" i="1" l="1"/>
  <c r="G4" i="1"/>
  <c r="I3" i="1" l="1"/>
  <c r="H4" i="1"/>
  <c r="J3" i="1" l="1"/>
  <c r="I4" i="1"/>
  <c r="K3" i="1" l="1"/>
  <c r="J4" i="1"/>
  <c r="L3" i="1" l="1"/>
  <c r="K4" i="1"/>
  <c r="M3" i="1" l="1"/>
  <c r="L4" i="1"/>
  <c r="N3" i="1" l="1"/>
  <c r="M4" i="1"/>
  <c r="O3" i="1" l="1"/>
  <c r="N4" i="1"/>
  <c r="P3" i="1" l="1"/>
  <c r="O4" i="1"/>
  <c r="Q3" i="1" l="1"/>
  <c r="P4" i="1"/>
  <c r="R3" i="1" l="1"/>
  <c r="Q4" i="1"/>
  <c r="S3" i="1" l="1"/>
  <c r="R4" i="1"/>
  <c r="T3" i="1" l="1"/>
  <c r="S4" i="1"/>
  <c r="U3" i="1" l="1"/>
  <c r="T4" i="1"/>
  <c r="V3" i="1" l="1"/>
  <c r="U4" i="1"/>
  <c r="W3" i="1" l="1"/>
  <c r="V4" i="1"/>
  <c r="X3" i="1" l="1"/>
  <c r="W4" i="1"/>
  <c r="Y3" i="1" l="1"/>
  <c r="X4" i="1"/>
  <c r="Z3" i="1" l="1"/>
  <c r="Y4" i="1"/>
  <c r="AA3" i="1" l="1"/>
  <c r="Z4" i="1"/>
  <c r="AB3" i="1" l="1"/>
  <c r="AA4" i="1"/>
  <c r="AC3" i="1" l="1"/>
  <c r="AB4" i="1"/>
  <c r="AD3" i="1" l="1"/>
  <c r="AC4" i="1"/>
  <c r="AE3" i="1" l="1"/>
  <c r="AE4" i="1" s="1"/>
  <c r="AD4" i="1"/>
</calcChain>
</file>

<file path=xl/sharedStrings.xml><?xml version="1.0" encoding="utf-8"?>
<sst xmlns="http://schemas.openxmlformats.org/spreadsheetml/2006/main" count="19" uniqueCount="14">
  <si>
    <t>出  勤  簿</t>
    <phoneticPr fontId="1"/>
  </si>
  <si>
    <t>出勤</t>
    <phoneticPr fontId="1"/>
  </si>
  <si>
    <t>====</t>
    <phoneticPr fontId="1"/>
  </si>
  <si>
    <t>出差</t>
    <phoneticPr fontId="1"/>
  </si>
  <si>
    <t>迟到</t>
    <phoneticPr fontId="1"/>
  </si>
  <si>
    <t>早退</t>
    <phoneticPr fontId="1"/>
  </si>
  <si>
    <t>====</t>
    <phoneticPr fontId="1"/>
  </si>
  <si>
    <t>学习</t>
    <phoneticPr fontId="1"/>
  </si>
  <si>
    <t>研修</t>
    <phoneticPr fontId="1"/>
  </si>
  <si>
    <t>丧假</t>
    <phoneticPr fontId="1"/>
  </si>
  <si>
    <t>产假</t>
    <phoneticPr fontId="1"/>
  </si>
  <si>
    <t>缺勤</t>
    <phoneticPr fontId="1"/>
  </si>
  <si>
    <t>年假</t>
    <phoneticPr fontId="1"/>
  </si>
  <si>
    <t>病假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</si>
</sst>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7" formatCode="####&quot; 年&quot;"/>
    <numFmt numFmtId="188" formatCode="##&quot; 月&quot;"/>
    <numFmt numFmtId="189" formatCode="d"/>
    <numFmt numFmtId="190" formatCode="ddd"/>
  </numFmts>
  <fonts count="7">
    <font>
      <sz val="11"/>
      <name val="ＭＳ Ｐゴシック"/>
      <family val="2"/>
    </font>
    <font>
      <sz val="6"/>
      <name val="ＭＳ Ｐゴシック"/>
      <family val="2"/>
    </font>
    <font>
      <sz val="10"/>
      <name val="ＭＳ Ｐゴシック"/>
      <family val="2"/>
    </font>
    <font>
      <b/>
      <sz val="16"/>
      <name val="宋体"/>
      <family val="3"/>
      <charset val="134"/>
    </font>
    <font>
      <sz val="10"/>
      <name val="宋体"/>
      <family val="3"/>
      <charset val="134"/>
    </font>
    <font>
      <sz val="16"/>
      <name val="宋体"/>
      <family val="3"/>
      <charset val="134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87" fontId="3" fillId="0" borderId="0" xfId="0" applyNumberFormat="1" applyFont="1"/>
    <xf numFmtId="0" fontId="5" fillId="0" borderId="0" xfId="0" applyFont="1"/>
    <xf numFmtId="0" fontId="3" fillId="0" borderId="0" xfId="0" applyFont="1"/>
    <xf numFmtId="0" fontId="6" fillId="0" borderId="0" xfId="0" applyFont="1"/>
    <xf numFmtId="189" fontId="4" fillId="2" borderId="9" xfId="0" applyNumberFormat="1" applyFont="1" applyFill="1" applyBorder="1" applyAlignment="1">
      <alignment horizontal="center" vertical="center"/>
    </xf>
    <xf numFmtId="189" fontId="4" fillId="2" borderId="10" xfId="0" applyNumberFormat="1" applyFont="1" applyFill="1" applyBorder="1" applyAlignment="1">
      <alignment horizontal="center" vertical="center"/>
    </xf>
    <xf numFmtId="189" fontId="4" fillId="2" borderId="11" xfId="0" applyNumberFormat="1" applyFont="1" applyFill="1" applyBorder="1" applyAlignment="1">
      <alignment horizontal="center" vertical="center"/>
    </xf>
    <xf numFmtId="190" fontId="4" fillId="2" borderId="12" xfId="0" applyNumberFormat="1" applyFont="1" applyFill="1" applyBorder="1" applyAlignment="1">
      <alignment horizontal="center" vertical="center"/>
    </xf>
    <xf numFmtId="190" fontId="4" fillId="2" borderId="13" xfId="0" applyNumberFormat="1" applyFont="1" applyFill="1" applyBorder="1" applyAlignment="1">
      <alignment horizontal="center" vertical="center"/>
    </xf>
    <xf numFmtId="190" fontId="4" fillId="2" borderId="14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88" fontId="3" fillId="0" borderId="0" xfId="0" applyNumberFormat="1" applyFont="1" applyAlignment="1">
      <alignment horizontal="center"/>
    </xf>
  </cellXfs>
  <cellStyles count="1">
    <cellStyle name="常规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J38"/>
  <sheetViews>
    <sheetView showGridLines="0" tabSelected="1" zoomScaleNormal="100" workbookViewId="0">
      <selection activeCell="M5" sqref="M5"/>
    </sheetView>
  </sheetViews>
  <sheetFormatPr defaultRowHeight="13.5"/>
  <cols>
    <col min="1" max="1" width="13" bestFit="1" customWidth="1"/>
    <col min="2" max="32" width="5" customWidth="1"/>
    <col min="35" max="35" width="6.25" customWidth="1"/>
    <col min="36" max="36" width="7.5" hidden="1" customWidth="1"/>
    <col min="37" max="37" width="3" customWidth="1"/>
  </cols>
  <sheetData>
    <row r="1" spans="1:36" ht="21" customHeight="1">
      <c r="A1" s="10">
        <v>2012</v>
      </c>
      <c r="B1" s="29">
        <v>4</v>
      </c>
      <c r="C1" s="29"/>
      <c r="D1" s="11"/>
      <c r="E1" s="12" t="s">
        <v>0</v>
      </c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</row>
    <row r="2" spans="1:36" ht="5.25" customHeight="1" thickBo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</row>
    <row r="3" spans="1:36">
      <c r="A3" s="13"/>
      <c r="B3" s="14">
        <f>DATE(A1,B1,1)</f>
        <v>41000</v>
      </c>
      <c r="C3" s="15">
        <f t="shared" ref="C3:AC3" si="0">B3+1</f>
        <v>41001</v>
      </c>
      <c r="D3" s="15">
        <f t="shared" si="0"/>
        <v>41002</v>
      </c>
      <c r="E3" s="15">
        <f t="shared" si="0"/>
        <v>41003</v>
      </c>
      <c r="F3" s="15">
        <f t="shared" si="0"/>
        <v>41004</v>
      </c>
      <c r="G3" s="15">
        <f t="shared" si="0"/>
        <v>41005</v>
      </c>
      <c r="H3" s="15">
        <f t="shared" si="0"/>
        <v>41006</v>
      </c>
      <c r="I3" s="15">
        <f t="shared" si="0"/>
        <v>41007</v>
      </c>
      <c r="J3" s="15">
        <f t="shared" si="0"/>
        <v>41008</v>
      </c>
      <c r="K3" s="15">
        <f t="shared" si="0"/>
        <v>41009</v>
      </c>
      <c r="L3" s="15">
        <f t="shared" si="0"/>
        <v>41010</v>
      </c>
      <c r="M3" s="15">
        <f t="shared" si="0"/>
        <v>41011</v>
      </c>
      <c r="N3" s="15">
        <f t="shared" si="0"/>
        <v>41012</v>
      </c>
      <c r="O3" s="15">
        <f t="shared" si="0"/>
        <v>41013</v>
      </c>
      <c r="P3" s="15">
        <f t="shared" si="0"/>
        <v>41014</v>
      </c>
      <c r="Q3" s="15">
        <f t="shared" si="0"/>
        <v>41015</v>
      </c>
      <c r="R3" s="15">
        <f t="shared" si="0"/>
        <v>41016</v>
      </c>
      <c r="S3" s="15">
        <f t="shared" si="0"/>
        <v>41017</v>
      </c>
      <c r="T3" s="15">
        <f t="shared" si="0"/>
        <v>41018</v>
      </c>
      <c r="U3" s="15">
        <f t="shared" si="0"/>
        <v>41019</v>
      </c>
      <c r="V3" s="15">
        <f t="shared" si="0"/>
        <v>41020</v>
      </c>
      <c r="W3" s="15">
        <f t="shared" si="0"/>
        <v>41021</v>
      </c>
      <c r="X3" s="15">
        <f t="shared" si="0"/>
        <v>41022</v>
      </c>
      <c r="Y3" s="15">
        <f t="shared" si="0"/>
        <v>41023</v>
      </c>
      <c r="Z3" s="15">
        <f t="shared" si="0"/>
        <v>41024</v>
      </c>
      <c r="AA3" s="15">
        <f t="shared" si="0"/>
        <v>41025</v>
      </c>
      <c r="AB3" s="15">
        <f t="shared" si="0"/>
        <v>41026</v>
      </c>
      <c r="AC3" s="15">
        <f t="shared" si="0"/>
        <v>41027</v>
      </c>
      <c r="AD3" s="15">
        <f ca="1">IF(AND(B1=2,MOD(YEAR(TODAY()),4)&lt;&gt;0),"--",AC3+1)</f>
        <v>41028</v>
      </c>
      <c r="AE3" s="15">
        <f ca="1">IF(B1=2,"--",AD3+1)</f>
        <v>41029</v>
      </c>
      <c r="AF3" s="16" t="str">
        <f>IF(OR(B1=2,B1=4,B1=6,B1=9,B1=11),"--",AE3+1)</f>
        <v>--</v>
      </c>
      <c r="AG3" s="13"/>
      <c r="AH3" s="13"/>
      <c r="AI3" s="13"/>
      <c r="AJ3" s="13"/>
    </row>
    <row r="4" spans="1:36" ht="14.25" thickBot="1">
      <c r="A4" s="13"/>
      <c r="B4" s="17">
        <f>B3</f>
        <v>41000</v>
      </c>
      <c r="C4" s="18">
        <f t="shared" ref="C4:AF4" si="1">C3</f>
        <v>41001</v>
      </c>
      <c r="D4" s="18">
        <f t="shared" si="1"/>
        <v>41002</v>
      </c>
      <c r="E4" s="18">
        <f t="shared" si="1"/>
        <v>41003</v>
      </c>
      <c r="F4" s="18">
        <f t="shared" si="1"/>
        <v>41004</v>
      </c>
      <c r="G4" s="18">
        <f t="shared" si="1"/>
        <v>41005</v>
      </c>
      <c r="H4" s="18">
        <f t="shared" si="1"/>
        <v>41006</v>
      </c>
      <c r="I4" s="18">
        <f t="shared" si="1"/>
        <v>41007</v>
      </c>
      <c r="J4" s="18">
        <f t="shared" si="1"/>
        <v>41008</v>
      </c>
      <c r="K4" s="18">
        <f t="shared" si="1"/>
        <v>41009</v>
      </c>
      <c r="L4" s="18">
        <f t="shared" si="1"/>
        <v>41010</v>
      </c>
      <c r="M4" s="18">
        <f t="shared" si="1"/>
        <v>41011</v>
      </c>
      <c r="N4" s="18">
        <f t="shared" si="1"/>
        <v>41012</v>
      </c>
      <c r="O4" s="18">
        <f t="shared" si="1"/>
        <v>41013</v>
      </c>
      <c r="P4" s="18">
        <f t="shared" si="1"/>
        <v>41014</v>
      </c>
      <c r="Q4" s="18">
        <f t="shared" si="1"/>
        <v>41015</v>
      </c>
      <c r="R4" s="18">
        <f t="shared" si="1"/>
        <v>41016</v>
      </c>
      <c r="S4" s="18">
        <f t="shared" si="1"/>
        <v>41017</v>
      </c>
      <c r="T4" s="18">
        <f t="shared" si="1"/>
        <v>41018</v>
      </c>
      <c r="U4" s="18">
        <f t="shared" si="1"/>
        <v>41019</v>
      </c>
      <c r="V4" s="18">
        <f t="shared" si="1"/>
        <v>41020</v>
      </c>
      <c r="W4" s="18">
        <f t="shared" si="1"/>
        <v>41021</v>
      </c>
      <c r="X4" s="18">
        <f t="shared" si="1"/>
        <v>41022</v>
      </c>
      <c r="Y4" s="18">
        <f t="shared" si="1"/>
        <v>41023</v>
      </c>
      <c r="Z4" s="18">
        <f t="shared" si="1"/>
        <v>41024</v>
      </c>
      <c r="AA4" s="18">
        <f t="shared" si="1"/>
        <v>41025</v>
      </c>
      <c r="AB4" s="18">
        <f t="shared" si="1"/>
        <v>41026</v>
      </c>
      <c r="AC4" s="18">
        <f t="shared" si="1"/>
        <v>41027</v>
      </c>
      <c r="AD4" s="18">
        <f t="shared" ca="1" si="1"/>
        <v>41028</v>
      </c>
      <c r="AE4" s="18">
        <f t="shared" ca="1" si="1"/>
        <v>41029</v>
      </c>
      <c r="AF4" s="19" t="str">
        <f t="shared" si="1"/>
        <v>--</v>
      </c>
      <c r="AG4" s="13"/>
      <c r="AH4" s="13"/>
      <c r="AI4" s="13"/>
      <c r="AJ4" s="13" t="s">
        <v>1</v>
      </c>
    </row>
    <row r="5" spans="1:36" s="1" customFormat="1" ht="17.25" customHeight="1">
      <c r="A5" s="25"/>
      <c r="B5" s="20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2"/>
      <c r="AG5" s="23"/>
      <c r="AH5" s="23"/>
      <c r="AI5" s="23"/>
      <c r="AJ5" s="24" t="s">
        <v>2</v>
      </c>
    </row>
    <row r="6" spans="1:36" s="1" customFormat="1" ht="17.25" customHeight="1">
      <c r="A6" s="25"/>
      <c r="B6" s="26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8"/>
      <c r="AG6" s="23"/>
      <c r="AH6" s="23"/>
      <c r="AI6" s="23"/>
      <c r="AJ6" s="23" t="s">
        <v>3</v>
      </c>
    </row>
    <row r="7" spans="1:36" s="1" customFormat="1" ht="17.25" customHeight="1">
      <c r="A7" s="25"/>
      <c r="B7" s="26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8"/>
      <c r="AG7" s="23"/>
      <c r="AH7" s="23"/>
      <c r="AI7" s="23"/>
      <c r="AJ7" s="23" t="s">
        <v>4</v>
      </c>
    </row>
    <row r="8" spans="1:36" s="1" customFormat="1" ht="17.25" customHeight="1">
      <c r="A8" s="25"/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8"/>
      <c r="AG8" s="23"/>
      <c r="AH8" s="23"/>
      <c r="AI8" s="23"/>
      <c r="AJ8" s="23" t="s">
        <v>5</v>
      </c>
    </row>
    <row r="9" spans="1:36" s="1" customFormat="1" ht="17.25" customHeight="1">
      <c r="A9" s="25"/>
      <c r="B9" s="26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8"/>
      <c r="AG9" s="23"/>
      <c r="AH9" s="23"/>
      <c r="AI9" s="23"/>
      <c r="AJ9" s="24" t="s">
        <v>6</v>
      </c>
    </row>
    <row r="10" spans="1:36" s="1" customFormat="1" ht="17.25" customHeight="1">
      <c r="A10" s="25"/>
      <c r="B10" s="26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8"/>
      <c r="AG10" s="23"/>
      <c r="AH10" s="23"/>
      <c r="AI10" s="23"/>
      <c r="AJ10" s="23" t="s">
        <v>7</v>
      </c>
    </row>
    <row r="11" spans="1:36" s="1" customFormat="1" ht="17.25" customHeight="1">
      <c r="A11" s="25"/>
      <c r="B11" s="2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8"/>
      <c r="AG11" s="23"/>
      <c r="AH11" s="23"/>
      <c r="AI11" s="23"/>
      <c r="AJ11" s="23" t="s">
        <v>8</v>
      </c>
    </row>
    <row r="12" spans="1:36" s="1" customFormat="1" ht="17.25" customHeight="1">
      <c r="A12" s="25"/>
      <c r="B12" s="2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8"/>
      <c r="AG12" s="23"/>
      <c r="AH12" s="23"/>
      <c r="AI12" s="23"/>
      <c r="AJ12" s="23" t="s">
        <v>12</v>
      </c>
    </row>
    <row r="13" spans="1:36" s="1" customFormat="1" ht="17.25" customHeight="1">
      <c r="A13" s="25"/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8"/>
      <c r="AG13" s="23"/>
      <c r="AH13" s="23"/>
      <c r="AI13" s="23"/>
      <c r="AJ13" s="23" t="s">
        <v>9</v>
      </c>
    </row>
    <row r="14" spans="1:36" s="1" customFormat="1" ht="17.25" customHeight="1">
      <c r="A14" s="25"/>
      <c r="B14" s="26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8"/>
      <c r="AG14" s="23"/>
      <c r="AH14" s="23"/>
      <c r="AI14" s="23"/>
      <c r="AJ14" s="23" t="s">
        <v>10</v>
      </c>
    </row>
    <row r="15" spans="1:36" s="1" customFormat="1" ht="17.25" customHeight="1">
      <c r="A15" s="25"/>
      <c r="B15" s="26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8"/>
      <c r="AG15" s="23"/>
      <c r="AH15" s="23"/>
      <c r="AI15" s="23"/>
      <c r="AJ15" s="23" t="s">
        <v>13</v>
      </c>
    </row>
    <row r="16" spans="1:36" s="1" customFormat="1" ht="17.25" customHeight="1">
      <c r="A16" s="25"/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8"/>
      <c r="AG16" s="23"/>
      <c r="AH16" s="23"/>
      <c r="AI16" s="23"/>
      <c r="AJ16" s="23" t="s">
        <v>11</v>
      </c>
    </row>
    <row r="17" spans="1:36" s="1" customFormat="1" ht="17.25" customHeight="1">
      <c r="A17" s="25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8"/>
      <c r="AG17" s="23"/>
      <c r="AH17" s="23"/>
      <c r="AI17" s="23"/>
      <c r="AJ17" s="23"/>
    </row>
    <row r="18" spans="1:36" s="1" customFormat="1" ht="17.25" customHeight="1">
      <c r="A18" s="25"/>
      <c r="B18" s="26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8"/>
      <c r="AG18" s="23"/>
      <c r="AH18" s="23"/>
      <c r="AI18" s="23"/>
      <c r="AJ18" s="23"/>
    </row>
    <row r="19" spans="1:36" s="1" customFormat="1" ht="17.25" customHeight="1">
      <c r="A19" s="25"/>
      <c r="B19" s="26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8"/>
      <c r="AG19" s="23"/>
      <c r="AH19" s="23"/>
      <c r="AI19" s="23"/>
      <c r="AJ19" s="23"/>
    </row>
    <row r="20" spans="1:36" s="1" customFormat="1" ht="17.25" customHeight="1">
      <c r="A20" s="25"/>
      <c r="B20" s="26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8"/>
      <c r="AG20" s="23"/>
      <c r="AH20" s="23"/>
      <c r="AI20" s="23"/>
      <c r="AJ20" s="23" t="s">
        <v>12</v>
      </c>
    </row>
    <row r="21" spans="1:36" s="1" customFormat="1" ht="17.25" customHeight="1">
      <c r="A21" s="25"/>
      <c r="B21" s="26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8"/>
      <c r="AG21" s="23"/>
      <c r="AH21" s="23"/>
      <c r="AI21" s="23"/>
      <c r="AJ21" s="23" t="s">
        <v>9</v>
      </c>
    </row>
    <row r="22" spans="1:36" s="1" customFormat="1" ht="17.25" customHeight="1">
      <c r="A22" s="25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8"/>
      <c r="AG22" s="23"/>
      <c r="AH22" s="23"/>
      <c r="AI22" s="23"/>
      <c r="AJ22" s="23" t="s">
        <v>10</v>
      </c>
    </row>
    <row r="23" spans="1:36" s="1" customFormat="1" ht="17.25" customHeight="1">
      <c r="A23" s="25"/>
      <c r="B23" s="26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8"/>
      <c r="AG23" s="23"/>
      <c r="AH23" s="23"/>
      <c r="AI23" s="23"/>
      <c r="AJ23" s="23" t="s">
        <v>13</v>
      </c>
    </row>
    <row r="24" spans="1:36" s="1" customFormat="1" ht="17.25" customHeight="1">
      <c r="A24" s="25"/>
      <c r="B24" s="26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8"/>
      <c r="AG24" s="23"/>
      <c r="AH24" s="23"/>
      <c r="AI24" s="23"/>
      <c r="AJ24" s="23" t="s">
        <v>11</v>
      </c>
    </row>
    <row r="25" spans="1:36" s="1" customFormat="1" ht="17.25" customHeight="1">
      <c r="A25" s="2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6" s="1" customFormat="1" ht="17.25" customHeight="1">
      <c r="A26" s="2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6" s="1" customFormat="1" ht="17.25" customHeight="1">
      <c r="A27" s="2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6" s="1" customFormat="1" ht="17.25" customHeight="1">
      <c r="A28" s="2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6" s="1" customFormat="1" ht="17.25" customHeight="1">
      <c r="A29" s="2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6"/>
    </row>
    <row r="30" spans="1:36" s="1" customFormat="1" ht="17.25" customHeight="1">
      <c r="A30" s="2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6"/>
    </row>
    <row r="31" spans="1:36" s="1" customFormat="1" ht="17.25" customHeight="1">
      <c r="A31" s="2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6"/>
    </row>
    <row r="32" spans="1:36" s="1" customFormat="1" ht="17.25" customHeight="1">
      <c r="A32" s="2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6"/>
    </row>
    <row r="33" spans="1:32" s="1" customFormat="1" ht="17.25" customHeight="1">
      <c r="A33" s="2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6"/>
    </row>
    <row r="34" spans="1:32" s="1" customFormat="1" ht="17.25" customHeight="1">
      <c r="A34" s="2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6"/>
    </row>
    <row r="35" spans="1:32" s="1" customFormat="1" ht="17.25" customHeight="1">
      <c r="A35" s="2"/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6"/>
    </row>
    <row r="36" spans="1:32" s="1" customFormat="1" ht="17.25" customHeight="1">
      <c r="A36" s="2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6"/>
    </row>
    <row r="37" spans="1:32" s="1" customFormat="1" ht="17.25" customHeight="1" thickBot="1">
      <c r="A37" s="3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9"/>
    </row>
    <row r="38" spans="1:32" ht="5.25" customHeight="1"/>
  </sheetData>
  <mergeCells count="1">
    <mergeCell ref="B1:C1"/>
  </mergeCells>
  <phoneticPr fontId="1"/>
  <conditionalFormatting sqref="B5:AF37">
    <cfRule type="cellIs" dxfId="1" priority="1" stopIfTrue="1" operator="equal">
      <formula>"迟到"</formula>
    </cfRule>
    <cfRule type="cellIs" dxfId="0" priority="2" stopIfTrue="1" operator="equal">
      <formula>"早退"</formula>
    </cfRule>
  </conditionalFormatting>
  <dataValidations count="1">
    <dataValidation type="list" allowBlank="1" showInputMessage="1" showErrorMessage="1" sqref="B5:AF37">
      <formula1>$AJ$4:$AJ$16</formula1>
    </dataValidation>
  </dataValidations>
  <pageMargins left="0.78740157480314965" right="0.78740157480314965" top="0.98425196850393704" bottom="0.98425196850393704" header="0.51181102362204722" footer="0.51181102362204722"/>
  <pageSetup paperSize="9" scale="78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出勤簿</vt:lpstr>
      <vt:lpstr>出勤簿!Print_Area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2003-05-01T01:33:29Z</cp:lastPrinted>
  <dcterms:created xsi:type="dcterms:W3CDTF">2003-03-22T13:57:37Z</dcterms:created>
  <dcterms:modified xsi:type="dcterms:W3CDTF">2012-06-27T06:39:23Z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TC012335192052</vt:lpwstr>
  </property>
</Properties>
</file>