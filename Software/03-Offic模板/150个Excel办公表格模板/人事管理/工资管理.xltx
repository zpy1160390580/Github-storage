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350" yWindow="525" windowWidth="15255" windowHeight="7890" tabRatio="766"/>
  </bookViews>
  <sheets>
    <sheet name="员工工资表" sheetId="7" r:id="rId1"/>
    <sheet name="工资条" sheetId="9" r:id="rId2"/>
    <sheet name="员工工资详情表" sheetId="10" r:id="rId3"/>
    <sheet name="员工出勤统计表" sheetId="2" r:id="rId4"/>
    <sheet name="员工福利表" sheetId="1" r:id="rId5"/>
    <sheet name="员工奖金表" sheetId="3" r:id="rId6"/>
  </sheets>
  <definedNames>
    <definedName name="_xlnm._FilterDatabase" localSheetId="0" hidden="1">员工工资表!$A$2:$M$20</definedName>
    <definedName name="出勤表">员工出勤统计表!$A$2:$E$20</definedName>
    <definedName name="福利表">员工福利表!$A$2:$F$20</definedName>
    <definedName name="奖金表">员工奖金表!$A$2:$D$20</definedName>
  </definedNames>
  <calcPr calcId="145621"/>
</workbook>
</file>

<file path=xl/calcChain.xml><?xml version="1.0" encoding="utf-8"?>
<calcChain xmlns="http://schemas.openxmlformats.org/spreadsheetml/2006/main">
  <c r="J3" i="7" l="1"/>
  <c r="M3" i="9"/>
  <c r="M4" i="9"/>
  <c r="J4" i="7"/>
  <c r="K4" i="7" s="1"/>
  <c r="M6" i="9"/>
  <c r="M7" i="9"/>
  <c r="J5" i="7"/>
  <c r="K5" i="7" s="1"/>
  <c r="M9" i="9"/>
  <c r="M10" i="9"/>
  <c r="J6" i="7"/>
  <c r="K6" i="7" s="1"/>
  <c r="M12" i="9"/>
  <c r="M13" i="9"/>
  <c r="J7" i="7"/>
  <c r="K7" i="7" s="1"/>
  <c r="M15" i="9"/>
  <c r="M16" i="9"/>
  <c r="J8" i="7"/>
  <c r="K8" i="7" s="1"/>
  <c r="M18" i="9"/>
  <c r="M19" i="9"/>
  <c r="J9" i="7"/>
  <c r="K9" i="7" s="1"/>
  <c r="M21" i="9"/>
  <c r="M22" i="9"/>
  <c r="J10" i="7"/>
  <c r="K10" i="7" s="1"/>
  <c r="M24" i="9"/>
  <c r="M25" i="9"/>
  <c r="J11" i="7"/>
  <c r="K11" i="7" s="1"/>
  <c r="M27" i="9"/>
  <c r="M28" i="9"/>
  <c r="J12" i="7"/>
  <c r="K12" i="7" s="1"/>
  <c r="M30" i="9"/>
  <c r="M31" i="9"/>
  <c r="J13" i="7"/>
  <c r="K13" i="7" s="1"/>
  <c r="M33" i="9"/>
  <c r="M34" i="9"/>
  <c r="J14" i="7"/>
  <c r="K14" i="7" s="1"/>
  <c r="M36" i="9"/>
  <c r="M37" i="9"/>
  <c r="J15" i="7"/>
  <c r="K15" i="7" s="1"/>
  <c r="M39" i="9"/>
  <c r="M40" i="9"/>
  <c r="J16" i="7"/>
  <c r="K16" i="7" s="1"/>
  <c r="M42" i="9"/>
  <c r="M43" i="9"/>
  <c r="J17" i="7"/>
  <c r="K17" i="7" s="1"/>
  <c r="M45" i="9"/>
  <c r="M46" i="9"/>
  <c r="J18" i="7"/>
  <c r="K18" i="7" s="1"/>
  <c r="M48" i="9"/>
  <c r="M49" i="9"/>
  <c r="J19" i="7"/>
  <c r="K19" i="7" s="1"/>
  <c r="M51" i="9"/>
  <c r="M52" i="9"/>
  <c r="J20" i="7"/>
  <c r="K20" i="7" s="1"/>
  <c r="M1" i="9"/>
  <c r="L1" i="9"/>
  <c r="L3" i="9"/>
  <c r="L4" i="9"/>
  <c r="L6" i="9"/>
  <c r="L7" i="9"/>
  <c r="L9" i="9"/>
  <c r="L10" i="9"/>
  <c r="L12" i="9"/>
  <c r="L13" i="9"/>
  <c r="L15" i="9"/>
  <c r="L16" i="9"/>
  <c r="L18" i="9"/>
  <c r="L19" i="9"/>
  <c r="L21" i="9"/>
  <c r="L22" i="9"/>
  <c r="L24" i="9"/>
  <c r="L25" i="9"/>
  <c r="L27" i="9"/>
  <c r="L28" i="9"/>
  <c r="L30" i="9"/>
  <c r="L31" i="9"/>
  <c r="L33" i="9"/>
  <c r="L34" i="9"/>
  <c r="L36" i="9"/>
  <c r="L37" i="9"/>
  <c r="L39" i="9"/>
  <c r="L40" i="9"/>
  <c r="L42" i="9"/>
  <c r="L43" i="9"/>
  <c r="L45" i="9"/>
  <c r="L46" i="9"/>
  <c r="L48" i="9"/>
  <c r="L49" i="9"/>
  <c r="L51" i="9"/>
  <c r="L52" i="9"/>
  <c r="D5" i="9"/>
  <c r="D4" i="9"/>
  <c r="C4" i="9"/>
  <c r="B4" i="9"/>
  <c r="A4" i="9"/>
  <c r="D11" i="10"/>
  <c r="C3" i="10"/>
  <c r="E7" i="10"/>
  <c r="C10" i="10"/>
  <c r="C9" i="10"/>
  <c r="C8" i="10"/>
  <c r="C7" i="10"/>
  <c r="C6" i="10"/>
  <c r="C5" i="10"/>
  <c r="C4" i="10"/>
  <c r="E4" i="9"/>
  <c r="F4" i="9"/>
  <c r="G4" i="9"/>
  <c r="H4" i="9"/>
  <c r="I4" i="9"/>
  <c r="J4" i="9"/>
  <c r="K4" i="9"/>
  <c r="A5" i="9"/>
  <c r="B5" i="9"/>
  <c r="C5" i="9"/>
  <c r="E5" i="9"/>
  <c r="F5" i="9"/>
  <c r="G5" i="9"/>
  <c r="H5" i="9"/>
  <c r="I5" i="9"/>
  <c r="J5" i="9"/>
  <c r="A6" i="9"/>
  <c r="B6" i="9"/>
  <c r="C6" i="9"/>
  <c r="D6" i="9"/>
  <c r="E6" i="9"/>
  <c r="F6" i="9"/>
  <c r="G6" i="9"/>
  <c r="H6" i="9"/>
  <c r="I6" i="9"/>
  <c r="J6" i="9"/>
  <c r="K6" i="9"/>
  <c r="A7" i="9"/>
  <c r="B7" i="9"/>
  <c r="C7" i="9"/>
  <c r="D7" i="9"/>
  <c r="E7" i="9"/>
  <c r="F7" i="9"/>
  <c r="G7" i="9"/>
  <c r="H7" i="9"/>
  <c r="I7" i="9"/>
  <c r="J7" i="9"/>
  <c r="K7" i="9"/>
  <c r="A8" i="9"/>
  <c r="B8" i="9"/>
  <c r="C8" i="9"/>
  <c r="D8" i="9"/>
  <c r="E8" i="9"/>
  <c r="F8" i="9"/>
  <c r="G8" i="9"/>
  <c r="H8" i="9"/>
  <c r="I8" i="9"/>
  <c r="J8" i="9"/>
  <c r="A9" i="9"/>
  <c r="B9" i="9"/>
  <c r="C9" i="9"/>
  <c r="D9" i="9"/>
  <c r="E9" i="9"/>
  <c r="F9" i="9"/>
  <c r="G9" i="9"/>
  <c r="H9" i="9"/>
  <c r="I9" i="9"/>
  <c r="J9" i="9"/>
  <c r="K9" i="9"/>
  <c r="A10" i="9"/>
  <c r="B10" i="9"/>
  <c r="C10" i="9"/>
  <c r="D10" i="9"/>
  <c r="E10" i="9"/>
  <c r="F10" i="9"/>
  <c r="G10" i="9"/>
  <c r="H10" i="9"/>
  <c r="I10" i="9"/>
  <c r="J10" i="9"/>
  <c r="K10" i="9"/>
  <c r="A11" i="9"/>
  <c r="B11" i="9"/>
  <c r="C11" i="9"/>
  <c r="D11" i="9"/>
  <c r="E11" i="9"/>
  <c r="F11" i="9"/>
  <c r="G11" i="9"/>
  <c r="H11" i="9"/>
  <c r="I11" i="9"/>
  <c r="J11" i="9"/>
  <c r="A12" i="9"/>
  <c r="B12" i="9"/>
  <c r="C12" i="9"/>
  <c r="D12" i="9"/>
  <c r="E12" i="9"/>
  <c r="F12" i="9"/>
  <c r="G12" i="9"/>
  <c r="H12" i="9"/>
  <c r="I12" i="9"/>
  <c r="J12" i="9"/>
  <c r="K12" i="9"/>
  <c r="A13" i="9"/>
  <c r="B13" i="9"/>
  <c r="C13" i="9"/>
  <c r="D13" i="9"/>
  <c r="E13" i="9"/>
  <c r="F13" i="9"/>
  <c r="G13" i="9"/>
  <c r="H13" i="9"/>
  <c r="I13" i="9"/>
  <c r="J13" i="9"/>
  <c r="K13" i="9"/>
  <c r="A14" i="9"/>
  <c r="B14" i="9"/>
  <c r="C14" i="9"/>
  <c r="D14" i="9"/>
  <c r="E14" i="9"/>
  <c r="F14" i="9"/>
  <c r="G14" i="9"/>
  <c r="H14" i="9"/>
  <c r="I14" i="9"/>
  <c r="J14" i="9"/>
  <c r="A15" i="9"/>
  <c r="B15" i="9"/>
  <c r="C15" i="9"/>
  <c r="D15" i="9"/>
  <c r="E15" i="9"/>
  <c r="F15" i="9"/>
  <c r="G15" i="9"/>
  <c r="H15" i="9"/>
  <c r="I15" i="9"/>
  <c r="J15" i="9"/>
  <c r="K15" i="9"/>
  <c r="A16" i="9"/>
  <c r="B16" i="9"/>
  <c r="C16" i="9"/>
  <c r="D16" i="9"/>
  <c r="E16" i="9"/>
  <c r="F16" i="9"/>
  <c r="G16" i="9"/>
  <c r="H16" i="9"/>
  <c r="I16" i="9"/>
  <c r="J16" i="9"/>
  <c r="K16" i="9"/>
  <c r="A17" i="9"/>
  <c r="B17" i="9"/>
  <c r="C17" i="9"/>
  <c r="D17" i="9"/>
  <c r="E17" i="9"/>
  <c r="F17" i="9"/>
  <c r="G17" i="9"/>
  <c r="H17" i="9"/>
  <c r="I17" i="9"/>
  <c r="J17" i="9"/>
  <c r="A18" i="9"/>
  <c r="B18" i="9"/>
  <c r="C18" i="9"/>
  <c r="D18" i="9"/>
  <c r="E18" i="9"/>
  <c r="F18" i="9"/>
  <c r="G18" i="9"/>
  <c r="H18" i="9"/>
  <c r="I18" i="9"/>
  <c r="J18" i="9"/>
  <c r="K18" i="9"/>
  <c r="A19" i="9"/>
  <c r="B19" i="9"/>
  <c r="C19" i="9"/>
  <c r="D19" i="9"/>
  <c r="E19" i="9"/>
  <c r="F19" i="9"/>
  <c r="G19" i="9"/>
  <c r="H19" i="9"/>
  <c r="I19" i="9"/>
  <c r="J19" i="9"/>
  <c r="K19" i="9"/>
  <c r="A20" i="9"/>
  <c r="B20" i="9"/>
  <c r="C20" i="9"/>
  <c r="D20" i="9"/>
  <c r="E20" i="9"/>
  <c r="F20" i="9"/>
  <c r="G20" i="9"/>
  <c r="H20" i="9"/>
  <c r="I20" i="9"/>
  <c r="J20" i="9"/>
  <c r="A21" i="9"/>
  <c r="B21" i="9"/>
  <c r="C21" i="9"/>
  <c r="D21" i="9"/>
  <c r="E21" i="9"/>
  <c r="F21" i="9"/>
  <c r="G21" i="9"/>
  <c r="H21" i="9"/>
  <c r="I21" i="9"/>
  <c r="J21" i="9"/>
  <c r="K21" i="9"/>
  <c r="A22" i="9"/>
  <c r="B22" i="9"/>
  <c r="C22" i="9"/>
  <c r="D22" i="9"/>
  <c r="E22" i="9"/>
  <c r="F22" i="9"/>
  <c r="G22" i="9"/>
  <c r="H22" i="9"/>
  <c r="I22" i="9"/>
  <c r="J22" i="9"/>
  <c r="K22" i="9"/>
  <c r="A23" i="9"/>
  <c r="B23" i="9"/>
  <c r="C23" i="9"/>
  <c r="D23" i="9"/>
  <c r="E23" i="9"/>
  <c r="F23" i="9"/>
  <c r="G23" i="9"/>
  <c r="H23" i="9"/>
  <c r="I23" i="9"/>
  <c r="J23" i="9"/>
  <c r="A24" i="9"/>
  <c r="B24" i="9"/>
  <c r="C24" i="9"/>
  <c r="D24" i="9"/>
  <c r="E24" i="9"/>
  <c r="F24" i="9"/>
  <c r="G24" i="9"/>
  <c r="H24" i="9"/>
  <c r="I24" i="9"/>
  <c r="J24" i="9"/>
  <c r="K24" i="9"/>
  <c r="A25" i="9"/>
  <c r="B25" i="9"/>
  <c r="C25" i="9"/>
  <c r="D25" i="9"/>
  <c r="E25" i="9"/>
  <c r="F25" i="9"/>
  <c r="G25" i="9"/>
  <c r="H25" i="9"/>
  <c r="I25" i="9"/>
  <c r="J25" i="9"/>
  <c r="K25" i="9"/>
  <c r="A26" i="9"/>
  <c r="B26" i="9"/>
  <c r="C26" i="9"/>
  <c r="D26" i="9"/>
  <c r="E26" i="9"/>
  <c r="F26" i="9"/>
  <c r="G26" i="9"/>
  <c r="H26" i="9"/>
  <c r="I26" i="9"/>
  <c r="J26" i="9"/>
  <c r="A27" i="9"/>
  <c r="B27" i="9"/>
  <c r="C27" i="9"/>
  <c r="D27" i="9"/>
  <c r="E27" i="9"/>
  <c r="F27" i="9"/>
  <c r="G27" i="9"/>
  <c r="H27" i="9"/>
  <c r="I27" i="9"/>
  <c r="J27" i="9"/>
  <c r="K27" i="9"/>
  <c r="A28" i="9"/>
  <c r="B28" i="9"/>
  <c r="C28" i="9"/>
  <c r="D28" i="9"/>
  <c r="E28" i="9"/>
  <c r="F28" i="9"/>
  <c r="G28" i="9"/>
  <c r="H28" i="9"/>
  <c r="I28" i="9"/>
  <c r="J28" i="9"/>
  <c r="K28" i="9"/>
  <c r="A29" i="9"/>
  <c r="B29" i="9"/>
  <c r="C29" i="9"/>
  <c r="D29" i="9"/>
  <c r="E29" i="9"/>
  <c r="F29" i="9"/>
  <c r="G29" i="9"/>
  <c r="H29" i="9"/>
  <c r="I29" i="9"/>
  <c r="J29" i="9"/>
  <c r="A30" i="9"/>
  <c r="B30" i="9"/>
  <c r="C30" i="9"/>
  <c r="D30" i="9"/>
  <c r="E30" i="9"/>
  <c r="F30" i="9"/>
  <c r="G30" i="9"/>
  <c r="H30" i="9"/>
  <c r="I30" i="9"/>
  <c r="J30" i="9"/>
  <c r="K30" i="9"/>
  <c r="A31" i="9"/>
  <c r="B31" i="9"/>
  <c r="C31" i="9"/>
  <c r="D31" i="9"/>
  <c r="E31" i="9"/>
  <c r="F31" i="9"/>
  <c r="G31" i="9"/>
  <c r="H31" i="9"/>
  <c r="I31" i="9"/>
  <c r="J31" i="9"/>
  <c r="K31" i="9"/>
  <c r="A32" i="9"/>
  <c r="B32" i="9"/>
  <c r="C32" i="9"/>
  <c r="D32" i="9"/>
  <c r="E32" i="9"/>
  <c r="F32" i="9"/>
  <c r="G32" i="9"/>
  <c r="H32" i="9"/>
  <c r="I32" i="9"/>
  <c r="J32" i="9"/>
  <c r="A33" i="9"/>
  <c r="B33" i="9"/>
  <c r="C33" i="9"/>
  <c r="D33" i="9"/>
  <c r="E33" i="9"/>
  <c r="F33" i="9"/>
  <c r="G33" i="9"/>
  <c r="H33" i="9"/>
  <c r="I33" i="9"/>
  <c r="J33" i="9"/>
  <c r="K33" i="9"/>
  <c r="A34" i="9"/>
  <c r="B34" i="9"/>
  <c r="C34" i="9"/>
  <c r="D34" i="9"/>
  <c r="E34" i="9"/>
  <c r="F34" i="9"/>
  <c r="G34" i="9"/>
  <c r="H34" i="9"/>
  <c r="I34" i="9"/>
  <c r="J34" i="9"/>
  <c r="K34" i="9"/>
  <c r="A35" i="9"/>
  <c r="B35" i="9"/>
  <c r="C35" i="9"/>
  <c r="D35" i="9"/>
  <c r="E35" i="9"/>
  <c r="F35" i="9"/>
  <c r="G35" i="9"/>
  <c r="H35" i="9"/>
  <c r="I35" i="9"/>
  <c r="J35" i="9"/>
  <c r="A36" i="9"/>
  <c r="B36" i="9"/>
  <c r="C36" i="9"/>
  <c r="D36" i="9"/>
  <c r="E36" i="9"/>
  <c r="F36" i="9"/>
  <c r="G36" i="9"/>
  <c r="H36" i="9"/>
  <c r="I36" i="9"/>
  <c r="J36" i="9"/>
  <c r="K36" i="9"/>
  <c r="A37" i="9"/>
  <c r="B37" i="9"/>
  <c r="C37" i="9"/>
  <c r="D37" i="9"/>
  <c r="E37" i="9"/>
  <c r="F37" i="9"/>
  <c r="G37" i="9"/>
  <c r="H37" i="9"/>
  <c r="I37" i="9"/>
  <c r="J37" i="9"/>
  <c r="K37" i="9"/>
  <c r="A38" i="9"/>
  <c r="B38" i="9"/>
  <c r="C38" i="9"/>
  <c r="D38" i="9"/>
  <c r="E38" i="9"/>
  <c r="F38" i="9"/>
  <c r="G38" i="9"/>
  <c r="H38" i="9"/>
  <c r="I38" i="9"/>
  <c r="J38" i="9"/>
  <c r="A39" i="9"/>
  <c r="B39" i="9"/>
  <c r="C39" i="9"/>
  <c r="D39" i="9"/>
  <c r="E39" i="9"/>
  <c r="F39" i="9"/>
  <c r="G39" i="9"/>
  <c r="H39" i="9"/>
  <c r="I39" i="9"/>
  <c r="J39" i="9"/>
  <c r="K39" i="9"/>
  <c r="A40" i="9"/>
  <c r="B40" i="9"/>
  <c r="C40" i="9"/>
  <c r="D40" i="9"/>
  <c r="E40" i="9"/>
  <c r="F40" i="9"/>
  <c r="G40" i="9"/>
  <c r="H40" i="9"/>
  <c r="I40" i="9"/>
  <c r="J40" i="9"/>
  <c r="K40" i="9"/>
  <c r="A41" i="9"/>
  <c r="B41" i="9"/>
  <c r="C41" i="9"/>
  <c r="D41" i="9"/>
  <c r="E41" i="9"/>
  <c r="F41" i="9"/>
  <c r="G41" i="9"/>
  <c r="H41" i="9"/>
  <c r="I41" i="9"/>
  <c r="J41" i="9"/>
  <c r="A42" i="9"/>
  <c r="B42" i="9"/>
  <c r="C42" i="9"/>
  <c r="D42" i="9"/>
  <c r="E42" i="9"/>
  <c r="F42" i="9"/>
  <c r="G42" i="9"/>
  <c r="H42" i="9"/>
  <c r="I42" i="9"/>
  <c r="J42" i="9"/>
  <c r="K42" i="9"/>
  <c r="A43" i="9"/>
  <c r="B43" i="9"/>
  <c r="C43" i="9"/>
  <c r="D43" i="9"/>
  <c r="E43" i="9"/>
  <c r="F43" i="9"/>
  <c r="G43" i="9"/>
  <c r="H43" i="9"/>
  <c r="I43" i="9"/>
  <c r="J43" i="9"/>
  <c r="K43" i="9"/>
  <c r="A44" i="9"/>
  <c r="B44" i="9"/>
  <c r="C44" i="9"/>
  <c r="D44" i="9"/>
  <c r="E44" i="9"/>
  <c r="F44" i="9"/>
  <c r="G44" i="9"/>
  <c r="H44" i="9"/>
  <c r="I44" i="9"/>
  <c r="J44" i="9"/>
  <c r="A45" i="9"/>
  <c r="B45" i="9"/>
  <c r="C45" i="9"/>
  <c r="D45" i="9"/>
  <c r="E45" i="9"/>
  <c r="F45" i="9"/>
  <c r="G45" i="9"/>
  <c r="H45" i="9"/>
  <c r="I45" i="9"/>
  <c r="J45" i="9"/>
  <c r="K45" i="9"/>
  <c r="A46" i="9"/>
  <c r="B46" i="9"/>
  <c r="C46" i="9"/>
  <c r="D46" i="9"/>
  <c r="E46" i="9"/>
  <c r="F46" i="9"/>
  <c r="G46" i="9"/>
  <c r="H46" i="9"/>
  <c r="I46" i="9"/>
  <c r="J46" i="9"/>
  <c r="K46" i="9"/>
  <c r="A47" i="9"/>
  <c r="B47" i="9"/>
  <c r="C47" i="9"/>
  <c r="D47" i="9"/>
  <c r="E47" i="9"/>
  <c r="F47" i="9"/>
  <c r="G47" i="9"/>
  <c r="H47" i="9"/>
  <c r="I47" i="9"/>
  <c r="J47" i="9"/>
  <c r="A48" i="9"/>
  <c r="B48" i="9"/>
  <c r="C48" i="9"/>
  <c r="D48" i="9"/>
  <c r="E48" i="9"/>
  <c r="F48" i="9"/>
  <c r="G48" i="9"/>
  <c r="H48" i="9"/>
  <c r="I48" i="9"/>
  <c r="J48" i="9"/>
  <c r="K48" i="9"/>
  <c r="A49" i="9"/>
  <c r="B49" i="9"/>
  <c r="C49" i="9"/>
  <c r="D49" i="9"/>
  <c r="E49" i="9"/>
  <c r="F49" i="9"/>
  <c r="G49" i="9"/>
  <c r="H49" i="9"/>
  <c r="I49" i="9"/>
  <c r="J49" i="9"/>
  <c r="K49" i="9"/>
  <c r="A50" i="9"/>
  <c r="B50" i="9"/>
  <c r="C50" i="9"/>
  <c r="D50" i="9"/>
  <c r="E50" i="9"/>
  <c r="F50" i="9"/>
  <c r="G50" i="9"/>
  <c r="H50" i="9"/>
  <c r="I50" i="9"/>
  <c r="J50" i="9"/>
  <c r="A51" i="9"/>
  <c r="B51" i="9"/>
  <c r="C51" i="9"/>
  <c r="D51" i="9"/>
  <c r="E51" i="9"/>
  <c r="F51" i="9"/>
  <c r="G51" i="9"/>
  <c r="H51" i="9"/>
  <c r="I51" i="9"/>
  <c r="J51" i="9"/>
  <c r="K51" i="9"/>
  <c r="A52" i="9"/>
  <c r="B52" i="9"/>
  <c r="C52" i="9"/>
  <c r="D52" i="9"/>
  <c r="E52" i="9"/>
  <c r="F52" i="9"/>
  <c r="G52" i="9"/>
  <c r="H52" i="9"/>
  <c r="I52" i="9"/>
  <c r="J52" i="9"/>
  <c r="K52" i="9"/>
  <c r="A53" i="9"/>
  <c r="B53" i="9"/>
  <c r="C53" i="9"/>
  <c r="D53" i="9"/>
  <c r="E53" i="9"/>
  <c r="F53" i="9"/>
  <c r="G53" i="9"/>
  <c r="H53" i="9"/>
  <c r="I53" i="9"/>
  <c r="J53" i="9"/>
  <c r="A3" i="9"/>
  <c r="B3" i="9"/>
  <c r="C3" i="9"/>
  <c r="D3" i="9"/>
  <c r="E3" i="9"/>
  <c r="F3" i="9"/>
  <c r="G3" i="9"/>
  <c r="H3" i="9"/>
  <c r="I3" i="9"/>
  <c r="J3" i="9"/>
  <c r="K3" i="9"/>
  <c r="A2" i="9"/>
  <c r="B2" i="9"/>
  <c r="C2" i="9"/>
  <c r="D2" i="9"/>
  <c r="E2" i="9"/>
  <c r="F2" i="9"/>
  <c r="G2" i="9"/>
  <c r="H2" i="9"/>
  <c r="I2" i="9"/>
  <c r="A54" i="9"/>
  <c r="B54" i="9"/>
  <c r="C54" i="9"/>
  <c r="D54" i="9"/>
  <c r="E54" i="9"/>
  <c r="F54" i="9"/>
  <c r="G54" i="9"/>
  <c r="H54" i="9"/>
  <c r="I54" i="9"/>
  <c r="J54" i="9"/>
  <c r="K54" i="9"/>
  <c r="L54" i="9"/>
  <c r="K1" i="9"/>
  <c r="J1" i="9"/>
  <c r="I1" i="9"/>
  <c r="H1" i="9"/>
  <c r="G1" i="9"/>
  <c r="F1" i="9"/>
  <c r="E1" i="9"/>
  <c r="D1" i="9"/>
  <c r="C1" i="9"/>
  <c r="B1" i="9"/>
  <c r="A1" i="9"/>
  <c r="K53" i="9" l="1"/>
  <c r="L20" i="7"/>
  <c r="L53" i="9" s="1"/>
  <c r="L19" i="7"/>
  <c r="L50" i="9" s="1"/>
  <c r="K50" i="9"/>
  <c r="K47" i="9"/>
  <c r="L18" i="7"/>
  <c r="L47" i="9" s="1"/>
  <c r="L17" i="7"/>
  <c r="L44" i="9" s="1"/>
  <c r="K44" i="9"/>
  <c r="K41" i="9"/>
  <c r="L16" i="7"/>
  <c r="L41" i="9" s="1"/>
  <c r="L15" i="7"/>
  <c r="L38" i="9" s="1"/>
  <c r="K38" i="9"/>
  <c r="K35" i="9"/>
  <c r="L14" i="7"/>
  <c r="L35" i="9" s="1"/>
  <c r="L13" i="7"/>
  <c r="L32" i="9" s="1"/>
  <c r="K32" i="9"/>
  <c r="K29" i="9"/>
  <c r="L12" i="7"/>
  <c r="L29" i="9" s="1"/>
  <c r="L11" i="7"/>
  <c r="L26" i="9" s="1"/>
  <c r="K26" i="9"/>
  <c r="E8" i="10"/>
  <c r="K23" i="9"/>
  <c r="L10" i="7"/>
  <c r="L9" i="7"/>
  <c r="L20" i="9" s="1"/>
  <c r="K20" i="9"/>
  <c r="K17" i="9"/>
  <c r="L8" i="7"/>
  <c r="L17" i="9" s="1"/>
  <c r="L7" i="7"/>
  <c r="L14" i="9" s="1"/>
  <c r="K14" i="9"/>
  <c r="K11" i="9"/>
  <c r="L6" i="7"/>
  <c r="L11" i="9" s="1"/>
  <c r="L5" i="7"/>
  <c r="L8" i="9" s="1"/>
  <c r="K8" i="9"/>
  <c r="K5" i="9"/>
  <c r="L4" i="7"/>
  <c r="L5" i="9" s="1"/>
  <c r="K3" i="7"/>
  <c r="J2" i="9"/>
  <c r="M17" i="7"/>
  <c r="M44" i="9" s="1"/>
  <c r="M13" i="7"/>
  <c r="M32" i="9" s="1"/>
  <c r="M10" i="7"/>
  <c r="M9" i="7"/>
  <c r="M20" i="9" s="1"/>
  <c r="M8" i="7"/>
  <c r="M17" i="9" s="1"/>
  <c r="M7" i="7"/>
  <c r="M14" i="9" s="1"/>
  <c r="M6" i="7"/>
  <c r="M11" i="9" s="1"/>
  <c r="M5" i="7"/>
  <c r="M8" i="9" s="1"/>
  <c r="M4" i="7"/>
  <c r="M5" i="9" s="1"/>
  <c r="M11" i="7" l="1"/>
  <c r="M26" i="9" s="1"/>
  <c r="M15" i="7"/>
  <c r="M38" i="9" s="1"/>
  <c r="M19" i="7"/>
  <c r="M50" i="9" s="1"/>
  <c r="K2" i="9"/>
  <c r="L3" i="7"/>
  <c r="M23" i="9"/>
  <c r="M12" i="7"/>
  <c r="M29" i="9" s="1"/>
  <c r="M14" i="7"/>
  <c r="M35" i="9" s="1"/>
  <c r="M16" i="7"/>
  <c r="M41" i="9" s="1"/>
  <c r="M18" i="7"/>
  <c r="M47" i="9" s="1"/>
  <c r="M20" i="7"/>
  <c r="M53" i="9" s="1"/>
  <c r="L23" i="9"/>
  <c r="E9" i="10"/>
  <c r="E10" i="10" l="1"/>
  <c r="L2" i="9"/>
  <c r="M3" i="7"/>
  <c r="D23" i="7" l="1"/>
  <c r="M2" i="9"/>
  <c r="D24" i="7" l="1"/>
  <c r="D25" i="7" s="1"/>
  <c r="D26" i="7" s="1"/>
  <c r="D27" i="7" s="1"/>
</calcChain>
</file>

<file path=xl/sharedStrings.xml><?xml version="1.0" encoding="utf-8"?>
<sst xmlns="http://schemas.openxmlformats.org/spreadsheetml/2006/main" count="54" uniqueCount="41">
  <si>
    <t>员工出勤统计表</t>
    <phoneticPr fontId="1" type="noConversion"/>
  </si>
  <si>
    <t>员工编号</t>
    <phoneticPr fontId="1" type="noConversion"/>
  </si>
  <si>
    <t>员工姓名</t>
    <phoneticPr fontId="1" type="noConversion"/>
  </si>
  <si>
    <t>请假类别</t>
    <phoneticPr fontId="1" type="noConversion"/>
  </si>
  <si>
    <t>所在部门</t>
    <phoneticPr fontId="1" type="noConversion"/>
  </si>
  <si>
    <t>应扣工资</t>
    <phoneticPr fontId="1" type="noConversion"/>
  </si>
  <si>
    <t>员工福利表</t>
    <phoneticPr fontId="1" type="noConversion"/>
  </si>
  <si>
    <t>住房补助</t>
    <phoneticPr fontId="1" type="noConversion"/>
  </si>
  <si>
    <t>车费补助</t>
    <phoneticPr fontId="1" type="noConversion"/>
  </si>
  <si>
    <t>保险金</t>
    <phoneticPr fontId="1" type="noConversion"/>
  </si>
  <si>
    <t>奖金</t>
    <phoneticPr fontId="1" type="noConversion"/>
  </si>
  <si>
    <t>员工奖金表</t>
    <phoneticPr fontId="1" type="noConversion"/>
  </si>
  <si>
    <t>奖金</t>
    <phoneticPr fontId="1" type="noConversion"/>
  </si>
  <si>
    <t>基本工资</t>
    <phoneticPr fontId="1" type="noConversion"/>
  </si>
  <si>
    <t>保险金</t>
    <phoneticPr fontId="1" type="noConversion"/>
  </si>
  <si>
    <t>应发金额</t>
    <phoneticPr fontId="1" type="noConversion"/>
  </si>
  <si>
    <t>扣税所得额</t>
    <phoneticPr fontId="1" type="noConversion"/>
  </si>
  <si>
    <t>个人所得税</t>
    <phoneticPr fontId="1" type="noConversion"/>
  </si>
  <si>
    <t>实发金额</t>
    <phoneticPr fontId="1" type="noConversion"/>
  </si>
  <si>
    <t>车费补助</t>
    <phoneticPr fontId="1" type="noConversion"/>
  </si>
  <si>
    <t>员工工资表</t>
    <phoneticPr fontId="1" type="noConversion"/>
  </si>
  <si>
    <t>请假扣款</t>
    <phoneticPr fontId="1" type="noConversion"/>
  </si>
  <si>
    <t>人事部</t>
    <phoneticPr fontId="1" type="noConversion"/>
  </si>
  <si>
    <t>行政部</t>
    <phoneticPr fontId="1" type="noConversion"/>
  </si>
  <si>
    <t>财务部</t>
    <phoneticPr fontId="1" type="noConversion"/>
  </si>
  <si>
    <t>销售部</t>
    <phoneticPr fontId="1" type="noConversion"/>
  </si>
  <si>
    <t>业务部</t>
    <phoneticPr fontId="1" type="noConversion"/>
  </si>
  <si>
    <t>总计</t>
    <phoneticPr fontId="1" type="noConversion"/>
  </si>
  <si>
    <t>员工编号</t>
    <phoneticPr fontId="1" type="noConversion"/>
  </si>
  <si>
    <t>员工姓名</t>
    <phoneticPr fontId="1" type="noConversion"/>
  </si>
  <si>
    <t>所在部门</t>
    <phoneticPr fontId="1" type="noConversion"/>
  </si>
  <si>
    <t>基本工资</t>
    <phoneticPr fontId="1" type="noConversion"/>
  </si>
  <si>
    <t>住房补助</t>
    <phoneticPr fontId="1" type="noConversion"/>
  </si>
  <si>
    <t>车费补助</t>
    <phoneticPr fontId="1" type="noConversion"/>
  </si>
  <si>
    <t>请假扣款</t>
    <phoneticPr fontId="1" type="noConversion"/>
  </si>
  <si>
    <t>应发金额</t>
    <phoneticPr fontId="1" type="noConversion"/>
  </si>
  <si>
    <t>扣税所得额</t>
    <phoneticPr fontId="1" type="noConversion"/>
  </si>
  <si>
    <t>个人所得税</t>
    <phoneticPr fontId="1" type="noConversion"/>
  </si>
  <si>
    <t>实发金额</t>
    <phoneticPr fontId="1" type="noConversion"/>
  </si>
  <si>
    <t>员工工资详情表</t>
    <phoneticPr fontId="1" type="noConversion"/>
  </si>
  <si>
    <t>工资发放时间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</si>
</sst>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￥&quot;#,##0_);\(&quot;￥&quot;#,##0\)"/>
    <numFmt numFmtId="177" formatCode="&quot;￥&quot;#,##0_);[Red]\(&quot;￥&quot;#,##0\)"/>
  </numFmts>
  <fonts count="5">
    <font>
      <sz val="12"/>
      <name val="宋体"/>
      <charset val="134"/>
    </font>
    <font>
      <sz val="9"/>
      <name val="宋体"/>
      <family val="3"/>
      <charset val="134"/>
    </font>
    <font>
      <sz val="12"/>
      <name val="黑体"/>
      <family val="3"/>
      <charset val="134"/>
    </font>
    <font>
      <sz val="11"/>
      <name val="宋体"/>
      <family val="3"/>
      <charset val="134"/>
    </font>
    <font>
      <sz val="14"/>
      <name val="黑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</fills>
  <borders count="36">
    <border>
      <left/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medium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medium">
        <color indexed="48"/>
      </right>
      <top style="thin">
        <color indexed="48"/>
      </top>
      <bottom style="thin">
        <color indexed="48"/>
      </bottom>
      <diagonal/>
    </border>
    <border>
      <left style="medium">
        <color indexed="48"/>
      </left>
      <right style="thin">
        <color indexed="48"/>
      </right>
      <top style="thin">
        <color indexed="48"/>
      </top>
      <bottom style="medium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medium">
        <color indexed="48"/>
      </bottom>
      <diagonal/>
    </border>
    <border>
      <left style="thin">
        <color indexed="48"/>
      </left>
      <right style="medium">
        <color indexed="48"/>
      </right>
      <top style="thin">
        <color indexed="48"/>
      </top>
      <bottom style="medium">
        <color indexed="48"/>
      </bottom>
      <diagonal/>
    </border>
    <border>
      <left style="medium">
        <color indexed="11"/>
      </left>
      <right style="hair">
        <color indexed="11"/>
      </right>
      <top style="hair">
        <color indexed="11"/>
      </top>
      <bottom style="hair">
        <color indexed="11"/>
      </bottom>
      <diagonal/>
    </border>
    <border>
      <left style="hair">
        <color indexed="11"/>
      </left>
      <right style="hair">
        <color indexed="11"/>
      </right>
      <top style="hair">
        <color indexed="11"/>
      </top>
      <bottom style="hair">
        <color indexed="11"/>
      </bottom>
      <diagonal/>
    </border>
    <border>
      <left style="hair">
        <color indexed="11"/>
      </left>
      <right style="medium">
        <color indexed="11"/>
      </right>
      <top style="hair">
        <color indexed="11"/>
      </top>
      <bottom style="hair">
        <color indexed="11"/>
      </bottom>
      <diagonal/>
    </border>
    <border>
      <left style="medium">
        <color indexed="11"/>
      </left>
      <right style="hair">
        <color indexed="11"/>
      </right>
      <top style="hair">
        <color indexed="11"/>
      </top>
      <bottom style="medium">
        <color indexed="11"/>
      </bottom>
      <diagonal/>
    </border>
    <border>
      <left style="hair">
        <color indexed="11"/>
      </left>
      <right style="hair">
        <color indexed="11"/>
      </right>
      <top style="hair">
        <color indexed="11"/>
      </top>
      <bottom style="medium">
        <color indexed="11"/>
      </bottom>
      <diagonal/>
    </border>
    <border>
      <left style="hair">
        <color indexed="11"/>
      </left>
      <right style="medium">
        <color indexed="11"/>
      </right>
      <top style="hair">
        <color indexed="11"/>
      </top>
      <bottom style="medium">
        <color indexed="11"/>
      </bottom>
      <diagonal/>
    </border>
    <border>
      <left style="medium">
        <color indexed="49"/>
      </left>
      <right style="hair">
        <color indexed="49"/>
      </right>
      <top style="hair">
        <color indexed="49"/>
      </top>
      <bottom style="hair">
        <color indexed="49"/>
      </bottom>
      <diagonal/>
    </border>
    <border>
      <left style="hair">
        <color indexed="49"/>
      </left>
      <right style="hair">
        <color indexed="49"/>
      </right>
      <top style="hair">
        <color indexed="49"/>
      </top>
      <bottom style="hair">
        <color indexed="49"/>
      </bottom>
      <diagonal/>
    </border>
    <border>
      <left style="hair">
        <color indexed="49"/>
      </left>
      <right style="medium">
        <color indexed="49"/>
      </right>
      <top style="hair">
        <color indexed="49"/>
      </top>
      <bottom style="hair">
        <color indexed="49"/>
      </bottom>
      <diagonal/>
    </border>
    <border>
      <left style="medium">
        <color indexed="49"/>
      </left>
      <right style="hair">
        <color indexed="49"/>
      </right>
      <top style="hair">
        <color indexed="49"/>
      </top>
      <bottom style="medium">
        <color indexed="49"/>
      </bottom>
      <diagonal/>
    </border>
    <border>
      <left style="hair">
        <color indexed="49"/>
      </left>
      <right style="hair">
        <color indexed="49"/>
      </right>
      <top style="hair">
        <color indexed="49"/>
      </top>
      <bottom style="medium">
        <color indexed="49"/>
      </bottom>
      <diagonal/>
    </border>
    <border>
      <left style="hair">
        <color indexed="49"/>
      </left>
      <right style="medium">
        <color indexed="49"/>
      </right>
      <top style="hair">
        <color indexed="49"/>
      </top>
      <bottom style="medium">
        <color indexed="49"/>
      </bottom>
      <diagonal/>
    </border>
    <border>
      <left style="medium">
        <color indexed="50"/>
      </left>
      <right style="hair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medium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hair">
        <color indexed="50"/>
      </top>
      <bottom style="medium">
        <color indexed="50"/>
      </bottom>
      <diagonal/>
    </border>
    <border>
      <left style="medium">
        <color indexed="49"/>
      </left>
      <right style="hair">
        <color indexed="49"/>
      </right>
      <top style="medium">
        <color indexed="49"/>
      </top>
      <bottom style="hair">
        <color indexed="49"/>
      </bottom>
      <diagonal/>
    </border>
    <border>
      <left style="hair">
        <color indexed="49"/>
      </left>
      <right style="medium">
        <color indexed="49"/>
      </right>
      <top style="medium">
        <color indexed="49"/>
      </top>
      <bottom style="hair">
        <color indexed="49"/>
      </bottom>
      <diagonal/>
    </border>
    <border>
      <left style="hair">
        <color indexed="50"/>
      </left>
      <right style="medium">
        <color indexed="50"/>
      </right>
      <top style="hair">
        <color indexed="50"/>
      </top>
      <bottom style="medium">
        <color indexed="50"/>
      </bottom>
      <diagonal/>
    </border>
    <border>
      <left style="medium">
        <color indexed="50"/>
      </left>
      <right style="hair">
        <color indexed="50"/>
      </right>
      <top style="medium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medium">
        <color indexed="50"/>
      </top>
      <bottom style="hair">
        <color indexed="50"/>
      </bottom>
      <diagonal/>
    </border>
    <border>
      <left style="hair">
        <color indexed="50"/>
      </left>
      <right style="medium">
        <color indexed="50"/>
      </right>
      <top style="medium">
        <color indexed="50"/>
      </top>
      <bottom style="hair">
        <color indexed="50"/>
      </bottom>
      <diagonal/>
    </border>
    <border>
      <left style="medium">
        <color indexed="11"/>
      </left>
      <right style="hair">
        <color indexed="11"/>
      </right>
      <top style="medium">
        <color indexed="11"/>
      </top>
      <bottom style="hair">
        <color indexed="11"/>
      </bottom>
      <diagonal/>
    </border>
    <border>
      <left style="hair">
        <color indexed="11"/>
      </left>
      <right style="hair">
        <color indexed="11"/>
      </right>
      <top style="medium">
        <color indexed="11"/>
      </top>
      <bottom style="hair">
        <color indexed="11"/>
      </bottom>
      <diagonal/>
    </border>
    <border>
      <left style="hair">
        <color indexed="11"/>
      </left>
      <right style="medium">
        <color indexed="11"/>
      </right>
      <top style="medium">
        <color indexed="11"/>
      </top>
      <bottom style="hair">
        <color indexed="11"/>
      </bottom>
      <diagonal/>
    </border>
    <border>
      <left style="medium">
        <color indexed="48"/>
      </left>
      <right style="thin">
        <color indexed="48"/>
      </right>
      <top style="medium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medium">
        <color indexed="48"/>
      </top>
      <bottom style="thin">
        <color indexed="48"/>
      </bottom>
      <diagonal/>
    </border>
    <border>
      <left style="thin">
        <color indexed="48"/>
      </left>
      <right style="medium">
        <color indexed="48"/>
      </right>
      <top style="medium">
        <color indexed="48"/>
      </top>
      <bottom style="thin">
        <color indexed="48"/>
      </bottom>
      <diagonal/>
    </border>
    <border>
      <left style="hair">
        <color indexed="49"/>
      </left>
      <right style="hair">
        <color indexed="49"/>
      </right>
      <top style="medium">
        <color indexed="49"/>
      </top>
      <bottom style="hair">
        <color indexed="49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8" xfId="0" applyNumberFormat="1" applyBorder="1">
      <alignment vertical="center"/>
    </xf>
    <xf numFmtId="176" fontId="0" fillId="0" borderId="9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1" xfId="0" applyNumberFormat="1" applyBorder="1">
      <alignment vertical="center"/>
    </xf>
    <xf numFmtId="176" fontId="0" fillId="0" borderId="12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5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6" fontId="0" fillId="0" borderId="18" xfId="0" applyNumberFormat="1" applyBorder="1">
      <alignment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76" fontId="0" fillId="0" borderId="20" xfId="0" applyNumberFormat="1" applyBorder="1">
      <alignment vertical="center"/>
    </xf>
    <xf numFmtId="176" fontId="0" fillId="0" borderId="21" xfId="0" applyNumberFormat="1" applyBorder="1">
      <alignment vertical="center"/>
    </xf>
    <xf numFmtId="0" fontId="0" fillId="0" borderId="22" xfId="0" applyBorder="1">
      <alignment vertical="center"/>
    </xf>
    <xf numFmtId="176" fontId="0" fillId="0" borderId="22" xfId="0" applyNumberFormat="1" applyBorder="1">
      <alignment vertical="center"/>
    </xf>
    <xf numFmtId="177" fontId="0" fillId="0" borderId="0" xfId="0" applyNumberFormat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25" xfId="0" applyNumberFormat="1" applyBorder="1">
      <alignment vertical="center"/>
    </xf>
    <xf numFmtId="176" fontId="0" fillId="0" borderId="18" xfId="0" applyNumberForma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8" xfId="0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0" borderId="20" xfId="0" applyBorder="1" applyAlignment="1">
      <alignment vertical="center"/>
    </xf>
    <xf numFmtId="176" fontId="0" fillId="0" borderId="9" xfId="0" applyNumberFormat="1" applyBorder="1">
      <alignment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6" dropStyle="combo" dx="16" fmlaLink="$A$2" fmlaRange="员工工资表!$A$3:$A$20" sel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2</xdr:col>
          <xdr:colOff>838200</xdr:colOff>
          <xdr:row>2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361950</xdr:colOff>
      <xdr:row>23</xdr:row>
      <xdr:rowOff>133350</xdr:rowOff>
    </xdr:from>
    <xdr:to>
      <xdr:col>18</xdr:col>
      <xdr:colOff>361950</xdr:colOff>
      <xdr:row>26</xdr:row>
      <xdr:rowOff>38100</xdr:rowOff>
    </xdr:to>
    <xdr:sp macro="" textlink="">
      <xdr:nvSpPr>
        <xdr:cNvPr id="2058" name="Line 10"/>
        <xdr:cNvSpPr>
          <a:spLocks noChangeShapeType="1"/>
        </xdr:cNvSpPr>
      </xdr:nvSpPr>
      <xdr:spPr bwMode="auto">
        <a:xfrm>
          <a:off x="12706350" y="4467225"/>
          <a:ext cx="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361950</xdr:colOff>
      <xdr:row>24</xdr:row>
      <xdr:rowOff>133350</xdr:rowOff>
    </xdr:from>
    <xdr:to>
      <xdr:col>20</xdr:col>
      <xdr:colOff>361950</xdr:colOff>
      <xdr:row>27</xdr:row>
      <xdr:rowOff>38100</xdr:rowOff>
    </xdr:to>
    <xdr:sp macro="" textlink="">
      <xdr:nvSpPr>
        <xdr:cNvPr id="2059" name="Line 11"/>
        <xdr:cNvSpPr>
          <a:spLocks noChangeShapeType="1"/>
        </xdr:cNvSpPr>
      </xdr:nvSpPr>
      <xdr:spPr bwMode="auto">
        <a:xfrm>
          <a:off x="14077950" y="4648200"/>
          <a:ext cx="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361950</xdr:colOff>
      <xdr:row>25</xdr:row>
      <xdr:rowOff>133350</xdr:rowOff>
    </xdr:from>
    <xdr:to>
      <xdr:col>18</xdr:col>
      <xdr:colOff>361950</xdr:colOff>
      <xdr:row>28</xdr:row>
      <xdr:rowOff>38100</xdr:rowOff>
    </xdr:to>
    <xdr:sp macro="" textlink="">
      <xdr:nvSpPr>
        <xdr:cNvPr id="2061" name="Line 13"/>
        <xdr:cNvSpPr>
          <a:spLocks noChangeShapeType="1"/>
        </xdr:cNvSpPr>
      </xdr:nvSpPr>
      <xdr:spPr bwMode="auto">
        <a:xfrm>
          <a:off x="12706350" y="4829175"/>
          <a:ext cx="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7"/>
  <sheetViews>
    <sheetView tabSelected="1" workbookViewId="0">
      <selection activeCell="I3" sqref="I3:I20"/>
    </sheetView>
  </sheetViews>
  <sheetFormatPr defaultRowHeight="14.25"/>
  <cols>
    <col min="1" max="1" width="8.75" customWidth="1"/>
    <col min="2" max="2" width="7.875" customWidth="1"/>
    <col min="3" max="3" width="8.625" customWidth="1"/>
    <col min="4" max="4" width="10.5" bestFit="1" customWidth="1"/>
    <col min="5" max="5" width="7.125" customWidth="1"/>
    <col min="6" max="6" width="9.25" customWidth="1"/>
    <col min="7" max="7" width="9.5" bestFit="1" customWidth="1"/>
    <col min="8" max="9" width="7.75" customWidth="1"/>
    <col min="10" max="10" width="9.5" bestFit="1" customWidth="1"/>
    <col min="11" max="11" width="11" bestFit="1" customWidth="1"/>
    <col min="12" max="12" width="9.25" customWidth="1"/>
    <col min="13" max="13" width="9.5" bestFit="1" customWidth="1"/>
  </cols>
  <sheetData>
    <row r="1" spans="1:13" ht="25.5" customHeight="1">
      <c r="A1" s="52" t="s">
        <v>20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pans="1:13">
      <c r="A2" s="30" t="s">
        <v>1</v>
      </c>
      <c r="B2" s="31" t="s">
        <v>2</v>
      </c>
      <c r="C2" s="31" t="s">
        <v>4</v>
      </c>
      <c r="D2" s="31" t="s">
        <v>13</v>
      </c>
      <c r="E2" s="31" t="s">
        <v>12</v>
      </c>
      <c r="F2" s="31" t="s">
        <v>7</v>
      </c>
      <c r="G2" s="31" t="s">
        <v>19</v>
      </c>
      <c r="H2" s="31" t="s">
        <v>14</v>
      </c>
      <c r="I2" s="31" t="s">
        <v>21</v>
      </c>
      <c r="J2" s="31" t="s">
        <v>15</v>
      </c>
      <c r="K2" s="31" t="s">
        <v>16</v>
      </c>
      <c r="L2" s="31" t="s">
        <v>17</v>
      </c>
      <c r="M2" s="32" t="s">
        <v>18</v>
      </c>
    </row>
    <row r="3" spans="1:13">
      <c r="A3" s="33">
        <v>1001</v>
      </c>
      <c r="B3" s="34"/>
      <c r="C3" s="34"/>
      <c r="D3" s="39"/>
      <c r="E3" s="35"/>
      <c r="F3" s="35"/>
      <c r="G3" s="35"/>
      <c r="H3" s="35"/>
      <c r="I3" s="35"/>
      <c r="J3" s="35">
        <f>D3+E3+F3+G3-H3-I3</f>
        <v>0</v>
      </c>
      <c r="K3" s="35">
        <f>IF(J3&lt;1000,0,J3-1000)</f>
        <v>0</v>
      </c>
      <c r="L3" s="35">
        <f>IF(K3&lt;500,K3*5%,(IF(AND(K3&gt;=500,K3&lt;2000),K3*10%-25,(IF(AND(K3&gt;=2000,K3&lt;5000),K3*15%-125)))))</f>
        <v>0</v>
      </c>
      <c r="M3" s="36">
        <f>J3-L3</f>
        <v>0</v>
      </c>
    </row>
    <row r="4" spans="1:13">
      <c r="A4" s="33">
        <v>1002</v>
      </c>
      <c r="B4" s="34"/>
      <c r="C4" s="34"/>
      <c r="D4" s="39"/>
      <c r="E4" s="35"/>
      <c r="F4" s="35"/>
      <c r="G4" s="35"/>
      <c r="H4" s="35"/>
      <c r="I4" s="35"/>
      <c r="J4" s="35">
        <f t="shared" ref="J4:J20" si="0">D4+E4+F4+G4-H4-I4</f>
        <v>0</v>
      </c>
      <c r="K4" s="35">
        <f t="shared" ref="K4:K20" si="1">IF(J4&lt;1000,0,J4-1000)</f>
        <v>0</v>
      </c>
      <c r="L4" s="35">
        <f t="shared" ref="L4:L20" si="2">IF(K4&lt;500,K4*5%,(IF(AND(K4&gt;=500,K4&lt;2000),K4*10%-25,(IF(AND(K4&gt;=2000,K4&lt;5000),K4*15%-125)))))</f>
        <v>0</v>
      </c>
      <c r="M4" s="36">
        <f t="shared" ref="M4:M20" si="3">J4-L4</f>
        <v>0</v>
      </c>
    </row>
    <row r="5" spans="1:13">
      <c r="A5" s="33">
        <v>1003</v>
      </c>
      <c r="B5" s="34"/>
      <c r="C5" s="34"/>
      <c r="D5" s="39"/>
      <c r="E5" s="35"/>
      <c r="F5" s="35"/>
      <c r="G5" s="35"/>
      <c r="H5" s="35"/>
      <c r="I5" s="35"/>
      <c r="J5" s="35">
        <f t="shared" si="0"/>
        <v>0</v>
      </c>
      <c r="K5" s="35">
        <f t="shared" si="1"/>
        <v>0</v>
      </c>
      <c r="L5" s="35">
        <f t="shared" si="2"/>
        <v>0</v>
      </c>
      <c r="M5" s="36">
        <f t="shared" si="3"/>
        <v>0</v>
      </c>
    </row>
    <row r="6" spans="1:13">
      <c r="A6" s="33">
        <v>1004</v>
      </c>
      <c r="B6" s="34"/>
      <c r="C6" s="34"/>
      <c r="D6" s="39"/>
      <c r="E6" s="35"/>
      <c r="F6" s="35"/>
      <c r="G6" s="35"/>
      <c r="H6" s="35"/>
      <c r="I6" s="35"/>
      <c r="J6" s="35">
        <f t="shared" si="0"/>
        <v>0</v>
      </c>
      <c r="K6" s="35">
        <f t="shared" si="1"/>
        <v>0</v>
      </c>
      <c r="L6" s="35">
        <f t="shared" si="2"/>
        <v>0</v>
      </c>
      <c r="M6" s="36">
        <f t="shared" si="3"/>
        <v>0</v>
      </c>
    </row>
    <row r="7" spans="1:13">
      <c r="A7" s="33">
        <v>1005</v>
      </c>
      <c r="B7" s="34"/>
      <c r="C7" s="34"/>
      <c r="D7" s="39"/>
      <c r="E7" s="35"/>
      <c r="F7" s="35"/>
      <c r="G7" s="35"/>
      <c r="H7" s="35"/>
      <c r="I7" s="35"/>
      <c r="J7" s="35">
        <f t="shared" si="0"/>
        <v>0</v>
      </c>
      <c r="K7" s="35">
        <f t="shared" si="1"/>
        <v>0</v>
      </c>
      <c r="L7" s="35">
        <f t="shared" si="2"/>
        <v>0</v>
      </c>
      <c r="M7" s="36">
        <f t="shared" si="3"/>
        <v>0</v>
      </c>
    </row>
    <row r="8" spans="1:13">
      <c r="A8" s="33">
        <v>1006</v>
      </c>
      <c r="B8" s="34"/>
      <c r="C8" s="34"/>
      <c r="D8" s="39"/>
      <c r="E8" s="35"/>
      <c r="F8" s="35"/>
      <c r="G8" s="35"/>
      <c r="H8" s="35"/>
      <c r="I8" s="35"/>
      <c r="J8" s="35">
        <f t="shared" si="0"/>
        <v>0</v>
      </c>
      <c r="K8" s="35">
        <f t="shared" si="1"/>
        <v>0</v>
      </c>
      <c r="L8" s="35">
        <f t="shared" si="2"/>
        <v>0</v>
      </c>
      <c r="M8" s="36">
        <f t="shared" si="3"/>
        <v>0</v>
      </c>
    </row>
    <row r="9" spans="1:13">
      <c r="A9" s="33">
        <v>1007</v>
      </c>
      <c r="B9" s="34"/>
      <c r="C9" s="34"/>
      <c r="D9" s="39"/>
      <c r="E9" s="35"/>
      <c r="F9" s="35"/>
      <c r="G9" s="35"/>
      <c r="H9" s="35"/>
      <c r="I9" s="35"/>
      <c r="J9" s="35">
        <f t="shared" si="0"/>
        <v>0</v>
      </c>
      <c r="K9" s="35">
        <f t="shared" si="1"/>
        <v>0</v>
      </c>
      <c r="L9" s="35">
        <f t="shared" si="2"/>
        <v>0</v>
      </c>
      <c r="M9" s="36">
        <f t="shared" si="3"/>
        <v>0</v>
      </c>
    </row>
    <row r="10" spans="1:13">
      <c r="A10" s="33">
        <v>1008</v>
      </c>
      <c r="B10" s="34"/>
      <c r="C10" s="34"/>
      <c r="D10" s="39"/>
      <c r="E10" s="35"/>
      <c r="F10" s="35"/>
      <c r="G10" s="35"/>
      <c r="H10" s="35"/>
      <c r="I10" s="35"/>
      <c r="J10" s="35">
        <f t="shared" si="0"/>
        <v>0</v>
      </c>
      <c r="K10" s="35">
        <f t="shared" si="1"/>
        <v>0</v>
      </c>
      <c r="L10" s="35">
        <f t="shared" si="2"/>
        <v>0</v>
      </c>
      <c r="M10" s="36">
        <f t="shared" si="3"/>
        <v>0</v>
      </c>
    </row>
    <row r="11" spans="1:13">
      <c r="A11" s="33">
        <v>1009</v>
      </c>
      <c r="B11" s="50"/>
      <c r="C11" s="34"/>
      <c r="D11" s="39"/>
      <c r="E11" s="35"/>
      <c r="F11" s="35"/>
      <c r="G11" s="35"/>
      <c r="H11" s="35"/>
      <c r="I11" s="35"/>
      <c r="J11" s="35">
        <f t="shared" si="0"/>
        <v>0</v>
      </c>
      <c r="K11" s="35">
        <f t="shared" si="1"/>
        <v>0</v>
      </c>
      <c r="L11" s="35">
        <f t="shared" si="2"/>
        <v>0</v>
      </c>
      <c r="M11" s="36">
        <f t="shared" si="3"/>
        <v>0</v>
      </c>
    </row>
    <row r="12" spans="1:13">
      <c r="A12" s="33">
        <v>1010</v>
      </c>
      <c r="B12" s="34"/>
      <c r="C12" s="34"/>
      <c r="D12" s="39"/>
      <c r="E12" s="35"/>
      <c r="F12" s="35"/>
      <c r="G12" s="35"/>
      <c r="H12" s="35"/>
      <c r="I12" s="35"/>
      <c r="J12" s="35">
        <f t="shared" si="0"/>
        <v>0</v>
      </c>
      <c r="K12" s="35">
        <f t="shared" si="1"/>
        <v>0</v>
      </c>
      <c r="L12" s="35">
        <f t="shared" si="2"/>
        <v>0</v>
      </c>
      <c r="M12" s="36">
        <f t="shared" si="3"/>
        <v>0</v>
      </c>
    </row>
    <row r="13" spans="1:13">
      <c r="A13" s="33">
        <v>1011</v>
      </c>
      <c r="B13" s="34"/>
      <c r="C13" s="34"/>
      <c r="D13" s="39"/>
      <c r="E13" s="35"/>
      <c r="F13" s="35"/>
      <c r="G13" s="35"/>
      <c r="H13" s="35"/>
      <c r="I13" s="35"/>
      <c r="J13" s="35">
        <f t="shared" si="0"/>
        <v>0</v>
      </c>
      <c r="K13" s="35">
        <f t="shared" si="1"/>
        <v>0</v>
      </c>
      <c r="L13" s="35">
        <f t="shared" si="2"/>
        <v>0</v>
      </c>
      <c r="M13" s="36">
        <f t="shared" si="3"/>
        <v>0</v>
      </c>
    </row>
    <row r="14" spans="1:13">
      <c r="A14" s="33">
        <v>1012</v>
      </c>
      <c r="B14" s="34"/>
      <c r="C14" s="34"/>
      <c r="D14" s="35"/>
      <c r="E14" s="35"/>
      <c r="F14" s="35"/>
      <c r="G14" s="35"/>
      <c r="H14" s="35"/>
      <c r="I14" s="35"/>
      <c r="J14" s="35">
        <f t="shared" si="0"/>
        <v>0</v>
      </c>
      <c r="K14" s="35">
        <f t="shared" si="1"/>
        <v>0</v>
      </c>
      <c r="L14" s="35">
        <f t="shared" si="2"/>
        <v>0</v>
      </c>
      <c r="M14" s="36">
        <f t="shared" si="3"/>
        <v>0</v>
      </c>
    </row>
    <row r="15" spans="1:13">
      <c r="A15" s="33">
        <v>1013</v>
      </c>
      <c r="B15" s="34"/>
      <c r="C15" s="34"/>
      <c r="D15" s="35"/>
      <c r="E15" s="35"/>
      <c r="F15" s="35"/>
      <c r="G15" s="35"/>
      <c r="H15" s="35"/>
      <c r="I15" s="35"/>
      <c r="J15" s="35">
        <f t="shared" si="0"/>
        <v>0</v>
      </c>
      <c r="K15" s="35">
        <f t="shared" si="1"/>
        <v>0</v>
      </c>
      <c r="L15" s="35">
        <f t="shared" si="2"/>
        <v>0</v>
      </c>
      <c r="M15" s="36">
        <f t="shared" si="3"/>
        <v>0</v>
      </c>
    </row>
    <row r="16" spans="1:13">
      <c r="A16" s="33">
        <v>1014</v>
      </c>
      <c r="B16" s="34"/>
      <c r="C16" s="34"/>
      <c r="D16" s="35"/>
      <c r="E16" s="35"/>
      <c r="F16" s="35"/>
      <c r="G16" s="35"/>
      <c r="H16" s="35"/>
      <c r="I16" s="35"/>
      <c r="J16" s="35">
        <f t="shared" si="0"/>
        <v>0</v>
      </c>
      <c r="K16" s="35">
        <f t="shared" si="1"/>
        <v>0</v>
      </c>
      <c r="L16" s="35">
        <f t="shared" si="2"/>
        <v>0</v>
      </c>
      <c r="M16" s="36">
        <f t="shared" si="3"/>
        <v>0</v>
      </c>
    </row>
    <row r="17" spans="1:13">
      <c r="A17" s="33">
        <v>1015</v>
      </c>
      <c r="B17" s="34"/>
      <c r="C17" s="34"/>
      <c r="D17" s="35"/>
      <c r="E17" s="35"/>
      <c r="F17" s="35"/>
      <c r="G17" s="35"/>
      <c r="H17" s="35"/>
      <c r="I17" s="35"/>
      <c r="J17" s="35">
        <f t="shared" si="0"/>
        <v>0</v>
      </c>
      <c r="K17" s="35">
        <f t="shared" si="1"/>
        <v>0</v>
      </c>
      <c r="L17" s="35">
        <f t="shared" si="2"/>
        <v>0</v>
      </c>
      <c r="M17" s="36">
        <f t="shared" si="3"/>
        <v>0</v>
      </c>
    </row>
    <row r="18" spans="1:13">
      <c r="A18" s="33">
        <v>1016</v>
      </c>
      <c r="B18" s="34"/>
      <c r="C18" s="34"/>
      <c r="D18" s="35"/>
      <c r="E18" s="35"/>
      <c r="F18" s="35"/>
      <c r="G18" s="35"/>
      <c r="H18" s="35"/>
      <c r="I18" s="35"/>
      <c r="J18" s="35">
        <f t="shared" si="0"/>
        <v>0</v>
      </c>
      <c r="K18" s="35">
        <f t="shared" si="1"/>
        <v>0</v>
      </c>
      <c r="L18" s="35">
        <f t="shared" si="2"/>
        <v>0</v>
      </c>
      <c r="M18" s="36">
        <f t="shared" si="3"/>
        <v>0</v>
      </c>
    </row>
    <row r="19" spans="1:13">
      <c r="A19" s="33">
        <v>1017</v>
      </c>
      <c r="B19" s="34"/>
      <c r="C19" s="34"/>
      <c r="D19" s="35"/>
      <c r="E19" s="35"/>
      <c r="F19" s="35"/>
      <c r="G19" s="35"/>
      <c r="H19" s="35"/>
      <c r="I19" s="35"/>
      <c r="J19" s="35">
        <f t="shared" si="0"/>
        <v>0</v>
      </c>
      <c r="K19" s="35">
        <f t="shared" si="1"/>
        <v>0</v>
      </c>
      <c r="L19" s="35">
        <f t="shared" si="2"/>
        <v>0</v>
      </c>
      <c r="M19" s="36">
        <f t="shared" si="3"/>
        <v>0</v>
      </c>
    </row>
    <row r="20" spans="1:13" ht="15" thickBot="1">
      <c r="A20" s="37">
        <v>1018</v>
      </c>
      <c r="B20" s="37"/>
      <c r="C20" s="37"/>
      <c r="D20" s="38"/>
      <c r="E20" s="38"/>
      <c r="F20" s="38"/>
      <c r="G20" s="38"/>
      <c r="H20" s="38"/>
      <c r="I20" s="38"/>
      <c r="J20" s="38">
        <f t="shared" si="0"/>
        <v>0</v>
      </c>
      <c r="K20" s="38">
        <f t="shared" si="1"/>
        <v>0</v>
      </c>
      <c r="L20" s="38">
        <f t="shared" si="2"/>
        <v>0</v>
      </c>
      <c r="M20" s="43">
        <f t="shared" si="3"/>
        <v>0</v>
      </c>
    </row>
    <row r="21" spans="1:13" ht="15" thickBot="1"/>
    <row r="22" spans="1:13">
      <c r="C22" s="40" t="s">
        <v>4</v>
      </c>
      <c r="D22" s="41" t="s">
        <v>27</v>
      </c>
    </row>
    <row r="23" spans="1:13">
      <c r="C23" s="24" t="s">
        <v>22</v>
      </c>
      <c r="D23" s="42">
        <f>DSUM(C2:M20,M2,C22:C23)</f>
        <v>0</v>
      </c>
    </row>
    <row r="24" spans="1:13">
      <c r="C24" s="24" t="s">
        <v>23</v>
      </c>
      <c r="D24" s="42">
        <f>SUM(DSUM(C2:M20,M2,C22:C24),-D23)</f>
        <v>0</v>
      </c>
    </row>
    <row r="25" spans="1:13">
      <c r="C25" s="24" t="s">
        <v>24</v>
      </c>
      <c r="D25" s="42">
        <f>SUM(DSUM(C2:M20,M2,C22:C25),-D23-D24)</f>
        <v>0</v>
      </c>
    </row>
    <row r="26" spans="1:13">
      <c r="C26" s="24" t="s">
        <v>25</v>
      </c>
      <c r="D26" s="42">
        <f>SUM(DSUM(C2:M20,M2,C22:C26),-D23-D24-D25)</f>
        <v>0</v>
      </c>
    </row>
    <row r="27" spans="1:13" ht="15" thickBot="1">
      <c r="C27" s="27" t="s">
        <v>26</v>
      </c>
      <c r="D27" s="44">
        <f>SUM(DSUM(C2:M20,M2,C22:C27),-D23-D24-D25-D26)</f>
        <v>0</v>
      </c>
    </row>
  </sheetData>
  <mergeCells count="1">
    <mergeCell ref="A1:M1"/>
  </mergeCells>
  <phoneticPr fontId="1" type="noConversion"/>
  <dataValidations count="1">
    <dataValidation allowBlank="1" showErrorMessage="1" sqref="D3:D15"/>
  </dataValidations>
  <pageMargins left="0.75" right="0.75" top="1" bottom="1" header="0.5" footer="0.5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topLeftCell="B7" workbookViewId="0">
      <selection activeCell="O29" sqref="O29"/>
    </sheetView>
  </sheetViews>
  <sheetFormatPr defaultRowHeight="14.25"/>
  <cols>
    <col min="4" max="4" width="10.5" bestFit="1" customWidth="1"/>
    <col min="5" max="9" width="9.125" bestFit="1" customWidth="1"/>
    <col min="10" max="10" width="10.5" bestFit="1" customWidth="1"/>
    <col min="11" max="11" width="11.25" customWidth="1"/>
    <col min="12" max="12" width="11.625" bestFit="1" customWidth="1"/>
    <col min="13" max="13" width="9.5" bestFit="1" customWidth="1"/>
  </cols>
  <sheetData>
    <row r="1" spans="1:13">
      <c r="A1" t="str">
        <f>IF(MOD(ROW(),3)=0,"",IF(MOD(ROW(),3)=1,
员工工资表!A$2,INDEX(员工工资表!$A:$M,(ROW()+4)/3+1,COLUMN())))</f>
        <v>员工编号</v>
      </c>
      <c r="B1" t="str">
        <f>IF(MOD(ROW(),3)=0,"",IF(MOD(ROW(),3)=1,
员工工资表!B$2,INDEX(员工工资表!$A:$M,(ROW()+4)/3+1,COLUMN())))</f>
        <v>员工姓名</v>
      </c>
      <c r="C1" t="str">
        <f>IF(MOD(ROW(),3)=0,"",IF(MOD(ROW(),3)=1,
员工工资表!C$2,INDEX(员工工资表!$A:$M,(ROW()+4)/3+1,COLUMN())))</f>
        <v>所在部门</v>
      </c>
      <c r="D1" t="str">
        <f>IF(MOD(ROW(),3)=0,"",IF(MOD(ROW(),3)=1,
员工工资表!D$2,INDEX(员工工资表!$A:$M,(ROW()+4)/3+1,COLUMN())))</f>
        <v>基本工资</v>
      </c>
      <c r="E1" t="str">
        <f>IF(MOD(ROW(),3)=0,"",IF(MOD(ROW(),3)=1,
员工工资表!E$2,INDEX(员工工资表!$A:$M,(ROW()+4)/3+1,COLUMN())))</f>
        <v>奖金</v>
      </c>
      <c r="F1" t="str">
        <f>IF(MOD(ROW(),3)=0,"",IF(MOD(ROW(),3)=1,
员工工资表!F$2,INDEX(员工工资表!$A:$M,(ROW()+4)/3+1,COLUMN())))</f>
        <v>住房补助</v>
      </c>
      <c r="G1" t="str">
        <f>IF(MOD(ROW(),3)=0,"",IF(MOD(ROW(),3)=1,
员工工资表!G$2,INDEX(员工工资表!$A:$M,(ROW()+4)/3+1,COLUMN())))</f>
        <v>车费补助</v>
      </c>
      <c r="H1" t="str">
        <f>IF(MOD(ROW(),3)=0,"",IF(MOD(ROW(),3)=1,
员工工资表!H$2,INDEX(员工工资表!$A:$M,(ROW()+4)/3+1,COLUMN())))</f>
        <v>保险金</v>
      </c>
      <c r="I1" t="str">
        <f>IF(MOD(ROW(),3)=0,"",IF(MOD(ROW(),3)=1,
员工工资表!I$2,INDEX(员工工资表!$A:$M,(ROW()+4)/3+1,COLUMN())))</f>
        <v>请假扣款</v>
      </c>
      <c r="J1" t="str">
        <f>IF(MOD(ROW(),3)=0,"",IF(MOD(ROW(),3)=1,
员工工资表!J$2,INDEX(员工工资表!$A:$M,(ROW()+4)/3+1,COLUMN())))</f>
        <v>应发金额</v>
      </c>
      <c r="K1" t="str">
        <f>IF(MOD(ROW(),3)=0,"",IF(MOD(ROW(),3)=1,
员工工资表!K$2,INDEX(员工工资表!$A:$M,(ROW()+4)/3+1,COLUMN())))</f>
        <v>扣税所得额</v>
      </c>
      <c r="L1" t="str">
        <f>IF(MOD(ROW(),3)=0,"",IF(MOD(ROW(),3)=1,
员工工资表!L$2,INDEX(员工工资表!$A:$M,(ROW()+4)/3+1,COLUMN())))</f>
        <v>个人所得税</v>
      </c>
      <c r="M1" t="str">
        <f>IF(MOD(ROW(),3)=0,"",IF(MOD(ROW(),3)=1,
员工工资表!M$2,INDEX(员工工资表!$A:$M,(ROW()+4)/3+1,COLUMN())))</f>
        <v>实发金额</v>
      </c>
    </row>
    <row r="2" spans="1:13">
      <c r="A2">
        <f>IF(MOD(ROW(),3)=0,"",IF(MOD(ROW(),3)=1,
员工工资表!A$2,INDEX(员工工资表!$A:$M,(ROW()+4)/3+1,COLUMN())))</f>
        <v>1001</v>
      </c>
      <c r="B2">
        <f>IF(MOD(ROW(),3)=0,"",IF(MOD(ROW(),3)=1,
员工工资表!B$2,INDEX(员工工资表!$A:$M,(ROW()+4)/3+1,COLUMN())))</f>
        <v>0</v>
      </c>
      <c r="C2">
        <f>IF(MOD(ROW(),3)=0,"",IF(MOD(ROW(),3)=1,
员工工资表!C$2,INDEX(员工工资表!$A:$M,(ROW()+4)/3+1,COLUMN())))</f>
        <v>0</v>
      </c>
      <c r="D2" s="45">
        <f>IF(MOD(ROW(),3)=0,"",IF(MOD(ROW(),3)=1,
员工工资表!D$2,INDEX(员工工资表!$A:$M,(ROW()+4)/3+1,COLUMN())))</f>
        <v>0</v>
      </c>
      <c r="E2" s="45">
        <f>IF(MOD(ROW(),3)=0,"",IF(MOD(ROW(),3)=1,
员工工资表!E$2,INDEX(员工工资表!$A:$M,(ROW()+4)/3+1,COLUMN())))</f>
        <v>0</v>
      </c>
      <c r="F2" s="45">
        <f>IF(MOD(ROW(),3)=0,"",IF(MOD(ROW(),3)=1,
员工工资表!F$2,INDEX(员工工资表!$A:$M,(ROW()+4)/3+1,COLUMN())))</f>
        <v>0</v>
      </c>
      <c r="G2" s="45">
        <f>IF(MOD(ROW(),3)=0,"",IF(MOD(ROW(),3)=1,
员工工资表!G$2,INDEX(员工工资表!$A:$M,(ROW()+4)/3+1,COLUMN())))</f>
        <v>0</v>
      </c>
      <c r="H2" s="45">
        <f>IF(MOD(ROW(),3)=0,"",IF(MOD(ROW(),3)=1,
员工工资表!H$2,INDEX(员工工资表!$A:$M,(ROW()+4)/3+1,COLUMN())))</f>
        <v>0</v>
      </c>
      <c r="I2" s="45">
        <f>IF(MOD(ROW(),3)=0,"",IF(MOD(ROW(),3)=1,
员工工资表!I$2,INDEX(员工工资表!$A:$M,(ROW()+4)/3+1,COLUMN())))</f>
        <v>0</v>
      </c>
      <c r="J2" s="45">
        <f>IF(MOD(ROW(),3)=0,"",IF(MOD(ROW(),3)=1,
员工工资表!J$2,INDEX(员工工资表!$A:$M,(ROW()+4)/3+1,COLUMN())))</f>
        <v>0</v>
      </c>
      <c r="K2" s="45">
        <f>IF(MOD(ROW(),3)=0,"",IF(MOD(ROW(),3)=1,
员工工资表!K$2,INDEX(员工工资表!$A:$M,(ROW()+4)/3+1,COLUMN())))</f>
        <v>0</v>
      </c>
      <c r="L2" s="45">
        <f>IF(MOD(ROW(),3)=0,"",IF(MOD(ROW(),3)=1,
员工工资表!L$2,INDEX(员工工资表!$A:$M,(ROW()+4)/3+1,COLUMN())))</f>
        <v>0</v>
      </c>
      <c r="M2" s="45">
        <f>IF(MOD(ROW(),3)=0,"",IF(MOD(ROW(),3)=1,
员工工资表!M$2,INDEX(员工工资表!$A:$M,(ROW()+4)/3+1,COLUMN())))</f>
        <v>0</v>
      </c>
    </row>
    <row r="3" spans="1:13">
      <c r="A3" t="str">
        <f>IF(MOD(ROW(),3)=0,"",IF(MOD(ROW(),3)=1,
员工工资表!A$2,INDEX(员工工资表!$A:$M,(ROW()+4)/3+1,COLUMN())))</f>
        <v/>
      </c>
      <c r="B3" t="str">
        <f>IF(MOD(ROW(),3)=0,"",IF(MOD(ROW(),3)=1,
员工工资表!B$2,INDEX(员工工资表!$A:$M,(ROW()+4)/3+1,COLUMN())))</f>
        <v/>
      </c>
      <c r="C3" t="str">
        <f>IF(MOD(ROW(),3)=0,"",IF(MOD(ROW(),3)=1,
员工工资表!C$2,INDEX(员工工资表!$A:$M,(ROW()+4)/3+1,COLUMN())))</f>
        <v/>
      </c>
      <c r="D3" t="str">
        <f>IF(MOD(ROW(),3)=0,"",IF(MOD(ROW(),3)=1,
员工工资表!D$2,INDEX(员工工资表!$A:$M,(ROW()+4)/3+1,COLUMN())))</f>
        <v/>
      </c>
      <c r="E3" t="str">
        <f>IF(MOD(ROW(),3)=0,"",IF(MOD(ROW(),3)=1,
员工工资表!E$2,INDEX(员工工资表!$A:$M,(ROW()+4)/3+1,COLUMN())))</f>
        <v/>
      </c>
      <c r="F3" t="str">
        <f>IF(MOD(ROW(),3)=0,"",IF(MOD(ROW(),3)=1,
员工工资表!F$2,INDEX(员工工资表!$A:$M,(ROW()+4)/3+1,COLUMN())))</f>
        <v/>
      </c>
      <c r="G3" t="str">
        <f>IF(MOD(ROW(),3)=0,"",IF(MOD(ROW(),3)=1,
员工工资表!G$2,INDEX(员工工资表!$A:$M,(ROW()+4)/3+1,COLUMN())))</f>
        <v/>
      </c>
      <c r="H3" t="str">
        <f>IF(MOD(ROW(),3)=0,"",IF(MOD(ROW(),3)=1,
员工工资表!H$2,INDEX(员工工资表!$A:$M,(ROW()+4)/3+1,COLUMN())))</f>
        <v/>
      </c>
      <c r="I3" t="str">
        <f>IF(MOD(ROW(),3)=0,"",IF(MOD(ROW(),3)=1,
员工工资表!I$2,INDEX(员工工资表!$A:$M,(ROW()+4)/3+1,COLUMN())))</f>
        <v/>
      </c>
      <c r="J3" t="str">
        <f>IF(MOD(ROW(),3)=0,"",IF(MOD(ROW(),3)=1,
员工工资表!J$2,INDEX(员工工资表!$A:$M,(ROW()+4)/3+1,COLUMN())))</f>
        <v/>
      </c>
      <c r="K3" t="str">
        <f>IF(MOD(ROW(),3)=0,"",IF(MOD(ROW(),3)=1,
员工工资表!K$2,INDEX(员工工资表!$A:$M,(ROW()+4)/3+1,COLUMN())))</f>
        <v/>
      </c>
      <c r="L3" t="str">
        <f>IF(MOD(ROW(),3)=0,"",IF(MOD(ROW(),3)=1,
员工工资表!L$2,INDEX(员工工资表!$A:$M,(ROW()+4)/3+1,COLUMN())))</f>
        <v/>
      </c>
      <c r="M3" t="str">
        <f>IF(MOD(ROW(),3)=0,"",IF(MOD(ROW(),3)=1,
员工工资表!M$2,INDEX(员工工资表!$A:$M,(ROW()+4)/3+1,COLUMN())))</f>
        <v/>
      </c>
    </row>
    <row r="4" spans="1:13">
      <c r="A4" t="str">
        <f>IF(MOD(ROW(),3)=0,"",IF(MOD(ROW(),3)=1,
员工工资表!A$2,INDEX(员工工资表!$A:$M,(ROW()+4)/3+1,COLUMN())))</f>
        <v>员工编号</v>
      </c>
      <c r="B4" t="str">
        <f>IF(MOD(ROW(),3)=0,"",IF(MOD(ROW(),3)=1,
员工工资表!B$2,INDEX(员工工资表!$A:$M,(ROW()+4)/3+1,COLUMN())))</f>
        <v>员工姓名</v>
      </c>
      <c r="C4" t="str">
        <f>IF(MOD(ROW(),3)=0,"",IF(MOD(ROW(),3)=1,
员工工资表!C$2,INDEX(员工工资表!$A:$M,(ROW()+4)/3+1,COLUMN())))</f>
        <v>所在部门</v>
      </c>
      <c r="D4" t="str">
        <f>IF(MOD(ROW(),3)=0,"",IF(MOD(ROW(),3)=1,
员工工资表!D$2,INDEX(员工工资表!$A:$M,(ROW()+4)/3+1,COLUMN())))</f>
        <v>基本工资</v>
      </c>
      <c r="E4" t="str">
        <f>IF(MOD(ROW(),3)=0,"",IF(MOD(ROW(),3)=1,
员工工资表!E$2,INDEX(员工工资表!$A:$M,(ROW()+4)/3+1,COLUMN())))</f>
        <v>奖金</v>
      </c>
      <c r="F4" t="str">
        <f>IF(MOD(ROW(),3)=0,"",IF(MOD(ROW(),3)=1,
员工工资表!F$2,INDEX(员工工资表!$A:$M,(ROW()+4)/3+1,COLUMN())))</f>
        <v>住房补助</v>
      </c>
      <c r="G4" t="str">
        <f>IF(MOD(ROW(),3)=0,"",IF(MOD(ROW(),3)=1,
员工工资表!G$2,INDEX(员工工资表!$A:$M,(ROW()+4)/3+1,COLUMN())))</f>
        <v>车费补助</v>
      </c>
      <c r="H4" t="str">
        <f>IF(MOD(ROW(),3)=0,"",IF(MOD(ROW(),3)=1,
员工工资表!H$2,INDEX(员工工资表!$A:$M,(ROW()+4)/3+1,COLUMN())))</f>
        <v>保险金</v>
      </c>
      <c r="I4" t="str">
        <f>IF(MOD(ROW(),3)=0,"",IF(MOD(ROW(),3)=1,
员工工资表!I$2,INDEX(员工工资表!$A:$M,(ROW()+4)/3+1,COLUMN())))</f>
        <v>请假扣款</v>
      </c>
      <c r="J4" t="str">
        <f>IF(MOD(ROW(),3)=0,"",IF(MOD(ROW(),3)=1,
员工工资表!J$2,INDEX(员工工资表!$A:$M,(ROW()+4)/3+1,COLUMN())))</f>
        <v>应发金额</v>
      </c>
      <c r="K4" t="str">
        <f>IF(MOD(ROW(),3)=0,"",IF(MOD(ROW(),3)=1,
员工工资表!K$2,INDEX(员工工资表!$A:$M,(ROW()+4)/3+1,COLUMN())))</f>
        <v>扣税所得额</v>
      </c>
      <c r="L4" t="str">
        <f>IF(MOD(ROW(),3)=0,"",IF(MOD(ROW(),3)=1,
员工工资表!L$2,INDEX(员工工资表!$A:$M,(ROW()+4)/3+1,COLUMN())))</f>
        <v>个人所得税</v>
      </c>
      <c r="M4" t="str">
        <f>IF(MOD(ROW(),3)=0,"",IF(MOD(ROW(),3)=1,
员工工资表!M$2,INDEX(员工工资表!$A:$M,(ROW()+4)/3+1,COLUMN())))</f>
        <v>实发金额</v>
      </c>
    </row>
    <row r="5" spans="1:13">
      <c r="A5">
        <f>IF(MOD(ROW(),3)=0,"",IF(MOD(ROW(),3)=1,
员工工资表!A$2,INDEX(员工工资表!$A:$M,(ROW()+4)/3+1,COLUMN())))</f>
        <v>1002</v>
      </c>
      <c r="B5">
        <f>IF(MOD(ROW(),3)=0,"",IF(MOD(ROW(),3)=1,
员工工资表!B$2,INDEX(员工工资表!$A:$M,(ROW()+4)/3+1,COLUMN())))</f>
        <v>0</v>
      </c>
      <c r="C5">
        <f>IF(MOD(ROW(),3)=0,"",IF(MOD(ROW(),3)=1,
员工工资表!C$2,INDEX(员工工资表!$A:$M,(ROW()+4)/3+1,COLUMN())))</f>
        <v>0</v>
      </c>
      <c r="D5" s="45">
        <f>IF(MOD(ROW(),3)=0,"",IF(MOD(ROW(),3)=1,
员工工资表!D$2,INDEX(员工工资表!$A:$M,(ROW()+4)/3+1,COLUMN())))</f>
        <v>0</v>
      </c>
      <c r="E5" s="45">
        <f>IF(MOD(ROW(),3)=0,"",IF(MOD(ROW(),3)=1,
员工工资表!E$2,INDEX(员工工资表!$A:$M,(ROW()+4)/3+1,COLUMN())))</f>
        <v>0</v>
      </c>
      <c r="F5" s="45">
        <f>IF(MOD(ROW(),3)=0,"",IF(MOD(ROW(),3)=1,
员工工资表!F$2,INDEX(员工工资表!$A:$M,(ROW()+4)/3+1,COLUMN())))</f>
        <v>0</v>
      </c>
      <c r="G5" s="45">
        <f>IF(MOD(ROW(),3)=0,"",IF(MOD(ROW(),3)=1,
员工工资表!G$2,INDEX(员工工资表!$A:$M,(ROW()+4)/3+1,COLUMN())))</f>
        <v>0</v>
      </c>
      <c r="H5" s="45">
        <f>IF(MOD(ROW(),3)=0,"",IF(MOD(ROW(),3)=1,
员工工资表!H$2,INDEX(员工工资表!$A:$M,(ROW()+4)/3+1,COLUMN())))</f>
        <v>0</v>
      </c>
      <c r="I5" s="45">
        <f>IF(MOD(ROW(),3)=0,"",IF(MOD(ROW(),3)=1,
员工工资表!I$2,INDEX(员工工资表!$A:$M,(ROW()+4)/3+1,COLUMN())))</f>
        <v>0</v>
      </c>
      <c r="J5" s="45">
        <f>IF(MOD(ROW(),3)=0,"",IF(MOD(ROW(),3)=1,
员工工资表!J$2,INDEX(员工工资表!$A:$M,(ROW()+4)/3+1,COLUMN())))</f>
        <v>0</v>
      </c>
      <c r="K5" s="45">
        <f>IF(MOD(ROW(),3)=0,"",IF(MOD(ROW(),3)=1,
员工工资表!K$2,INDEX(员工工资表!$A:$M,(ROW()+4)/3+1,COLUMN())))</f>
        <v>0</v>
      </c>
      <c r="L5" s="45">
        <f>IF(MOD(ROW(),3)=0,"",IF(MOD(ROW(),3)=1,
员工工资表!L$2,INDEX(员工工资表!$A:$M,(ROW()+4)/3+1,COLUMN())))</f>
        <v>0</v>
      </c>
      <c r="M5" s="45">
        <f>IF(MOD(ROW(),3)=0,"",IF(MOD(ROW(),3)=1,
员工工资表!M$2,INDEX(员工工资表!$A:$M,(ROW()+4)/3+1,COLUMN())))</f>
        <v>0</v>
      </c>
    </row>
    <row r="6" spans="1:13">
      <c r="A6" t="str">
        <f>IF(MOD(ROW(),3)=0,"",IF(MOD(ROW(),3)=1,
员工工资表!A$2,INDEX(员工工资表!$A:$M,(ROW()+4)/3+1,COLUMN())))</f>
        <v/>
      </c>
      <c r="B6" t="str">
        <f>IF(MOD(ROW(),3)=0,"",IF(MOD(ROW(),3)=1,
员工工资表!B$2,INDEX(员工工资表!$A:$M,(ROW()+4)/3+1,COLUMN())))</f>
        <v/>
      </c>
      <c r="C6" t="str">
        <f>IF(MOD(ROW(),3)=0,"",IF(MOD(ROW(),3)=1,
员工工资表!C$2,INDEX(员工工资表!$A:$M,(ROW()+4)/3+1,COLUMN())))</f>
        <v/>
      </c>
      <c r="D6" t="str">
        <f>IF(MOD(ROW(),3)=0,"",IF(MOD(ROW(),3)=1,
员工工资表!D$2,INDEX(员工工资表!$A:$M,(ROW()+4)/3+1,COLUMN())))</f>
        <v/>
      </c>
      <c r="E6" t="str">
        <f>IF(MOD(ROW(),3)=0,"",IF(MOD(ROW(),3)=1,
员工工资表!E$2,INDEX(员工工资表!$A:$M,(ROW()+4)/3+1,COLUMN())))</f>
        <v/>
      </c>
      <c r="F6" t="str">
        <f>IF(MOD(ROW(),3)=0,"",IF(MOD(ROW(),3)=1,
员工工资表!F$2,INDEX(员工工资表!$A:$M,(ROW()+4)/3+1,COLUMN())))</f>
        <v/>
      </c>
      <c r="G6" t="str">
        <f>IF(MOD(ROW(),3)=0,"",IF(MOD(ROW(),3)=1,
员工工资表!G$2,INDEX(员工工资表!$A:$M,(ROW()+4)/3+1,COLUMN())))</f>
        <v/>
      </c>
      <c r="H6" t="str">
        <f>IF(MOD(ROW(),3)=0,"",IF(MOD(ROW(),3)=1,
员工工资表!H$2,INDEX(员工工资表!$A:$M,(ROW()+4)/3+1,COLUMN())))</f>
        <v/>
      </c>
      <c r="I6" t="str">
        <f>IF(MOD(ROW(),3)=0,"",IF(MOD(ROW(),3)=1,
员工工资表!I$2,INDEX(员工工资表!$A:$M,(ROW()+4)/3+1,COLUMN())))</f>
        <v/>
      </c>
      <c r="J6" t="str">
        <f>IF(MOD(ROW(),3)=0,"",IF(MOD(ROW(),3)=1,
员工工资表!J$2,INDEX(员工工资表!$A:$M,(ROW()+4)/3+1,COLUMN())))</f>
        <v/>
      </c>
      <c r="K6" t="str">
        <f>IF(MOD(ROW(),3)=0,"",IF(MOD(ROW(),3)=1,
员工工资表!K$2,INDEX(员工工资表!$A:$M,(ROW()+4)/3+1,COLUMN())))</f>
        <v/>
      </c>
      <c r="L6" t="str">
        <f>IF(MOD(ROW(),3)=0,"",IF(MOD(ROW(),3)=1,
员工工资表!L$2,INDEX(员工工资表!$A:$M,(ROW()+4)/3+1,COLUMN())))</f>
        <v/>
      </c>
      <c r="M6" t="str">
        <f>IF(MOD(ROW(),3)=0,"",IF(MOD(ROW(),3)=1,
员工工资表!M$2,INDEX(员工工资表!$A:$M,(ROW()+4)/3+1,COLUMN())))</f>
        <v/>
      </c>
    </row>
    <row r="7" spans="1:13">
      <c r="A7" t="str">
        <f>IF(MOD(ROW(),3)=0,"",IF(MOD(ROW(),3)=1,
员工工资表!A$2,INDEX(员工工资表!$A:$M,(ROW()+4)/3+1,COLUMN())))</f>
        <v>员工编号</v>
      </c>
      <c r="B7" t="str">
        <f>IF(MOD(ROW(),3)=0,"",IF(MOD(ROW(),3)=1,
员工工资表!B$2,INDEX(员工工资表!$A:$M,(ROW()+4)/3+1,COLUMN())))</f>
        <v>员工姓名</v>
      </c>
      <c r="C7" t="str">
        <f>IF(MOD(ROW(),3)=0,"",IF(MOD(ROW(),3)=1,
员工工资表!C$2,INDEX(员工工资表!$A:$M,(ROW()+4)/3+1,COLUMN())))</f>
        <v>所在部门</v>
      </c>
      <c r="D7" t="str">
        <f>IF(MOD(ROW(),3)=0,"",IF(MOD(ROW(),3)=1,
员工工资表!D$2,INDEX(员工工资表!$A:$M,(ROW()+4)/3+1,COLUMN())))</f>
        <v>基本工资</v>
      </c>
      <c r="E7" t="str">
        <f>IF(MOD(ROW(),3)=0,"",IF(MOD(ROW(),3)=1,
员工工资表!E$2,INDEX(员工工资表!$A:$M,(ROW()+4)/3+1,COLUMN())))</f>
        <v>奖金</v>
      </c>
      <c r="F7" t="str">
        <f>IF(MOD(ROW(),3)=0,"",IF(MOD(ROW(),3)=1,
员工工资表!F$2,INDEX(员工工资表!$A:$M,(ROW()+4)/3+1,COLUMN())))</f>
        <v>住房补助</v>
      </c>
      <c r="G7" t="str">
        <f>IF(MOD(ROW(),3)=0,"",IF(MOD(ROW(),3)=1,
员工工资表!G$2,INDEX(员工工资表!$A:$M,(ROW()+4)/3+1,COLUMN())))</f>
        <v>车费补助</v>
      </c>
      <c r="H7" t="str">
        <f>IF(MOD(ROW(),3)=0,"",IF(MOD(ROW(),3)=1,
员工工资表!H$2,INDEX(员工工资表!$A:$M,(ROW()+4)/3+1,COLUMN())))</f>
        <v>保险金</v>
      </c>
      <c r="I7" t="str">
        <f>IF(MOD(ROW(),3)=0,"",IF(MOD(ROW(),3)=1,
员工工资表!I$2,INDEX(员工工资表!$A:$M,(ROW()+4)/3+1,COLUMN())))</f>
        <v>请假扣款</v>
      </c>
      <c r="J7" t="str">
        <f>IF(MOD(ROW(),3)=0,"",IF(MOD(ROW(),3)=1,
员工工资表!J$2,INDEX(员工工资表!$A:$M,(ROW()+4)/3+1,COLUMN())))</f>
        <v>应发金额</v>
      </c>
      <c r="K7" t="str">
        <f>IF(MOD(ROW(),3)=0,"",IF(MOD(ROW(),3)=1,
员工工资表!K$2,INDEX(员工工资表!$A:$M,(ROW()+4)/3+1,COLUMN())))</f>
        <v>扣税所得额</v>
      </c>
      <c r="L7" t="str">
        <f>IF(MOD(ROW(),3)=0,"",IF(MOD(ROW(),3)=1,
员工工资表!L$2,INDEX(员工工资表!$A:$M,(ROW()+4)/3+1,COLUMN())))</f>
        <v>个人所得税</v>
      </c>
      <c r="M7" t="str">
        <f>IF(MOD(ROW(),3)=0,"",IF(MOD(ROW(),3)=1,
员工工资表!M$2,INDEX(员工工资表!$A:$M,(ROW()+4)/3+1,COLUMN())))</f>
        <v>实发金额</v>
      </c>
    </row>
    <row r="8" spans="1:13">
      <c r="A8">
        <f>IF(MOD(ROW(),3)=0,"",IF(MOD(ROW(),3)=1,
员工工资表!A$2,INDEX(员工工资表!$A:$M,(ROW()+4)/3+1,COLUMN())))</f>
        <v>1003</v>
      </c>
      <c r="B8">
        <f>IF(MOD(ROW(),3)=0,"",IF(MOD(ROW(),3)=1,
员工工资表!B$2,INDEX(员工工资表!$A:$M,(ROW()+4)/3+1,COLUMN())))</f>
        <v>0</v>
      </c>
      <c r="C8">
        <f>IF(MOD(ROW(),3)=0,"",IF(MOD(ROW(),3)=1,
员工工资表!C$2,INDEX(员工工资表!$A:$M,(ROW()+4)/3+1,COLUMN())))</f>
        <v>0</v>
      </c>
      <c r="D8" s="45">
        <f>IF(MOD(ROW(),3)=0,"",IF(MOD(ROW(),3)=1,
员工工资表!D$2,INDEX(员工工资表!$A:$M,(ROW()+4)/3+1,COLUMN())))</f>
        <v>0</v>
      </c>
      <c r="E8" s="45">
        <f>IF(MOD(ROW(),3)=0,"",IF(MOD(ROW(),3)=1,
员工工资表!E$2,INDEX(员工工资表!$A:$M,(ROW()+4)/3+1,COLUMN())))</f>
        <v>0</v>
      </c>
      <c r="F8" s="45">
        <f>IF(MOD(ROW(),3)=0,"",IF(MOD(ROW(),3)=1,
员工工资表!F$2,INDEX(员工工资表!$A:$M,(ROW()+4)/3+1,COLUMN())))</f>
        <v>0</v>
      </c>
      <c r="G8" s="45">
        <f>IF(MOD(ROW(),3)=0,"",IF(MOD(ROW(),3)=1,
员工工资表!G$2,INDEX(员工工资表!$A:$M,(ROW()+4)/3+1,COLUMN())))</f>
        <v>0</v>
      </c>
      <c r="H8" s="45">
        <f>IF(MOD(ROW(),3)=0,"",IF(MOD(ROW(),3)=1,
员工工资表!H$2,INDEX(员工工资表!$A:$M,(ROW()+4)/3+1,COLUMN())))</f>
        <v>0</v>
      </c>
      <c r="I8" s="45">
        <f>IF(MOD(ROW(),3)=0,"",IF(MOD(ROW(),3)=1,
员工工资表!I$2,INDEX(员工工资表!$A:$M,(ROW()+4)/3+1,COLUMN())))</f>
        <v>0</v>
      </c>
      <c r="J8" s="45">
        <f>IF(MOD(ROW(),3)=0,"",IF(MOD(ROW(),3)=1,
员工工资表!J$2,INDEX(员工工资表!$A:$M,(ROW()+4)/3+1,COLUMN())))</f>
        <v>0</v>
      </c>
      <c r="K8" s="45">
        <f>IF(MOD(ROW(),3)=0,"",IF(MOD(ROW(),3)=1,
员工工资表!K$2,INDEX(员工工资表!$A:$M,(ROW()+4)/3+1,COLUMN())))</f>
        <v>0</v>
      </c>
      <c r="L8" s="45">
        <f>IF(MOD(ROW(),3)=0,"",IF(MOD(ROW(),3)=1,
员工工资表!L$2,INDEX(员工工资表!$A:$M,(ROW()+4)/3+1,COLUMN())))</f>
        <v>0</v>
      </c>
      <c r="M8" s="45">
        <f>IF(MOD(ROW(),3)=0,"",IF(MOD(ROW(),3)=1,
员工工资表!M$2,INDEX(员工工资表!$A:$M,(ROW()+4)/3+1,COLUMN())))</f>
        <v>0</v>
      </c>
    </row>
    <row r="9" spans="1:13">
      <c r="A9" t="str">
        <f>IF(MOD(ROW(),3)=0,"",IF(MOD(ROW(),3)=1,
员工工资表!A$2,INDEX(员工工资表!$A:$M,(ROW()+4)/3+1,COLUMN())))</f>
        <v/>
      </c>
      <c r="B9" t="str">
        <f>IF(MOD(ROW(),3)=0,"",IF(MOD(ROW(),3)=1,
员工工资表!B$2,INDEX(员工工资表!$A:$M,(ROW()+4)/3+1,COLUMN())))</f>
        <v/>
      </c>
      <c r="C9" t="str">
        <f>IF(MOD(ROW(),3)=0,"",IF(MOD(ROW(),3)=1,
员工工资表!C$2,INDEX(员工工资表!$A:$M,(ROW()+4)/3+1,COLUMN())))</f>
        <v/>
      </c>
      <c r="D9" t="str">
        <f>IF(MOD(ROW(),3)=0,"",IF(MOD(ROW(),3)=1,
员工工资表!D$2,INDEX(员工工资表!$A:$M,(ROW()+4)/3+1,COLUMN())))</f>
        <v/>
      </c>
      <c r="E9" t="str">
        <f>IF(MOD(ROW(),3)=0,"",IF(MOD(ROW(),3)=1,
员工工资表!E$2,INDEX(员工工资表!$A:$M,(ROW()+4)/3+1,COLUMN())))</f>
        <v/>
      </c>
      <c r="F9" t="str">
        <f>IF(MOD(ROW(),3)=0,"",IF(MOD(ROW(),3)=1,
员工工资表!F$2,INDEX(员工工资表!$A:$M,(ROW()+4)/3+1,COLUMN())))</f>
        <v/>
      </c>
      <c r="G9" t="str">
        <f>IF(MOD(ROW(),3)=0,"",IF(MOD(ROW(),3)=1,
员工工资表!G$2,INDEX(员工工资表!$A:$M,(ROW()+4)/3+1,COLUMN())))</f>
        <v/>
      </c>
      <c r="H9" t="str">
        <f>IF(MOD(ROW(),3)=0,"",IF(MOD(ROW(),3)=1,
员工工资表!H$2,INDEX(员工工资表!$A:$M,(ROW()+4)/3+1,COLUMN())))</f>
        <v/>
      </c>
      <c r="I9" t="str">
        <f>IF(MOD(ROW(),3)=0,"",IF(MOD(ROW(),3)=1,
员工工资表!I$2,INDEX(员工工资表!$A:$M,(ROW()+4)/3+1,COLUMN())))</f>
        <v/>
      </c>
      <c r="J9" t="str">
        <f>IF(MOD(ROW(),3)=0,"",IF(MOD(ROW(),3)=1,
员工工资表!J$2,INDEX(员工工资表!$A:$M,(ROW()+4)/3+1,COLUMN())))</f>
        <v/>
      </c>
      <c r="K9" t="str">
        <f>IF(MOD(ROW(),3)=0,"",IF(MOD(ROW(),3)=1,
员工工资表!K$2,INDEX(员工工资表!$A:$M,(ROW()+4)/3+1,COLUMN())))</f>
        <v/>
      </c>
      <c r="L9" t="str">
        <f>IF(MOD(ROW(),3)=0,"",IF(MOD(ROW(),3)=1,
员工工资表!L$2,INDEX(员工工资表!$A:$M,(ROW()+4)/3+1,COLUMN())))</f>
        <v/>
      </c>
      <c r="M9" t="str">
        <f>IF(MOD(ROW(),3)=0,"",IF(MOD(ROW(),3)=1,
员工工资表!M$2,INDEX(员工工资表!$A:$M,(ROW()+4)/3+1,COLUMN())))</f>
        <v/>
      </c>
    </row>
    <row r="10" spans="1:13">
      <c r="A10" t="str">
        <f>IF(MOD(ROW(),3)=0,"",IF(MOD(ROW(),3)=1,
员工工资表!A$2,INDEX(员工工资表!$A:$M,(ROW()+4)/3+1,COLUMN())))</f>
        <v>员工编号</v>
      </c>
      <c r="B10" t="str">
        <f>IF(MOD(ROW(),3)=0,"",IF(MOD(ROW(),3)=1,
员工工资表!B$2,INDEX(员工工资表!$A:$M,(ROW()+4)/3+1,COLUMN())))</f>
        <v>员工姓名</v>
      </c>
      <c r="C10" t="str">
        <f>IF(MOD(ROW(),3)=0,"",IF(MOD(ROW(),3)=1,
员工工资表!C$2,INDEX(员工工资表!$A:$M,(ROW()+4)/3+1,COLUMN())))</f>
        <v>所在部门</v>
      </c>
      <c r="D10" t="str">
        <f>IF(MOD(ROW(),3)=0,"",IF(MOD(ROW(),3)=1,
员工工资表!D$2,INDEX(员工工资表!$A:$M,(ROW()+4)/3+1,COLUMN())))</f>
        <v>基本工资</v>
      </c>
      <c r="E10" t="str">
        <f>IF(MOD(ROW(),3)=0,"",IF(MOD(ROW(),3)=1,
员工工资表!E$2,INDEX(员工工资表!$A:$M,(ROW()+4)/3+1,COLUMN())))</f>
        <v>奖金</v>
      </c>
      <c r="F10" t="str">
        <f>IF(MOD(ROW(),3)=0,"",IF(MOD(ROW(),3)=1,
员工工资表!F$2,INDEX(员工工资表!$A:$M,(ROW()+4)/3+1,COLUMN())))</f>
        <v>住房补助</v>
      </c>
      <c r="G10" t="str">
        <f>IF(MOD(ROW(),3)=0,"",IF(MOD(ROW(),3)=1,
员工工资表!G$2,INDEX(员工工资表!$A:$M,(ROW()+4)/3+1,COLUMN())))</f>
        <v>车费补助</v>
      </c>
      <c r="H10" t="str">
        <f>IF(MOD(ROW(),3)=0,"",IF(MOD(ROW(),3)=1,
员工工资表!H$2,INDEX(员工工资表!$A:$M,(ROW()+4)/3+1,COLUMN())))</f>
        <v>保险金</v>
      </c>
      <c r="I10" t="str">
        <f>IF(MOD(ROW(),3)=0,"",IF(MOD(ROW(),3)=1,
员工工资表!I$2,INDEX(员工工资表!$A:$M,(ROW()+4)/3+1,COLUMN())))</f>
        <v>请假扣款</v>
      </c>
      <c r="J10" t="str">
        <f>IF(MOD(ROW(),3)=0,"",IF(MOD(ROW(),3)=1,
员工工资表!J$2,INDEX(员工工资表!$A:$M,(ROW()+4)/3+1,COLUMN())))</f>
        <v>应发金额</v>
      </c>
      <c r="K10" t="str">
        <f>IF(MOD(ROW(),3)=0,"",IF(MOD(ROW(),3)=1,
员工工资表!K$2,INDEX(员工工资表!$A:$M,(ROW()+4)/3+1,COLUMN())))</f>
        <v>扣税所得额</v>
      </c>
      <c r="L10" t="str">
        <f>IF(MOD(ROW(),3)=0,"",IF(MOD(ROW(),3)=1,
员工工资表!L$2,INDEX(员工工资表!$A:$M,(ROW()+4)/3+1,COLUMN())))</f>
        <v>个人所得税</v>
      </c>
      <c r="M10" t="str">
        <f>IF(MOD(ROW(),3)=0,"",IF(MOD(ROW(),3)=1,
员工工资表!M$2,INDEX(员工工资表!$A:$M,(ROW()+4)/3+1,COLUMN())))</f>
        <v>实发金额</v>
      </c>
    </row>
    <row r="11" spans="1:13">
      <c r="A11">
        <f>IF(MOD(ROW(),3)=0,"",IF(MOD(ROW(),3)=1,
员工工资表!A$2,INDEX(员工工资表!$A:$M,(ROW()+4)/3+1,COLUMN())))</f>
        <v>1004</v>
      </c>
      <c r="B11">
        <f>IF(MOD(ROW(),3)=0,"",IF(MOD(ROW(),3)=1,
员工工资表!B$2,INDEX(员工工资表!$A:$M,(ROW()+4)/3+1,COLUMN())))</f>
        <v>0</v>
      </c>
      <c r="C11">
        <f>IF(MOD(ROW(),3)=0,"",IF(MOD(ROW(),3)=1,
员工工资表!C$2,INDEX(员工工资表!$A:$M,(ROW()+4)/3+1,COLUMN())))</f>
        <v>0</v>
      </c>
      <c r="D11" s="45">
        <f>IF(MOD(ROW(),3)=0,"",IF(MOD(ROW(),3)=1,
员工工资表!D$2,INDEX(员工工资表!$A:$M,(ROW()+4)/3+1,COLUMN())))</f>
        <v>0</v>
      </c>
      <c r="E11" s="45">
        <f>IF(MOD(ROW(),3)=0,"",IF(MOD(ROW(),3)=1,
员工工资表!E$2,INDEX(员工工资表!$A:$M,(ROW()+4)/3+1,COLUMN())))</f>
        <v>0</v>
      </c>
      <c r="F11" s="45">
        <f>IF(MOD(ROW(),3)=0,"",IF(MOD(ROW(),3)=1,
员工工资表!F$2,INDEX(员工工资表!$A:$M,(ROW()+4)/3+1,COLUMN())))</f>
        <v>0</v>
      </c>
      <c r="G11" s="45">
        <f>IF(MOD(ROW(),3)=0,"",IF(MOD(ROW(),3)=1,
员工工资表!G$2,INDEX(员工工资表!$A:$M,(ROW()+4)/3+1,COLUMN())))</f>
        <v>0</v>
      </c>
      <c r="H11" s="45">
        <f>IF(MOD(ROW(),3)=0,"",IF(MOD(ROW(),3)=1,
员工工资表!H$2,INDEX(员工工资表!$A:$M,(ROW()+4)/3+1,COLUMN())))</f>
        <v>0</v>
      </c>
      <c r="I11" s="45">
        <f>IF(MOD(ROW(),3)=0,"",IF(MOD(ROW(),3)=1,
员工工资表!I$2,INDEX(员工工资表!$A:$M,(ROW()+4)/3+1,COLUMN())))</f>
        <v>0</v>
      </c>
      <c r="J11" s="45">
        <f>IF(MOD(ROW(),3)=0,"",IF(MOD(ROW(),3)=1,
员工工资表!J$2,INDEX(员工工资表!$A:$M,(ROW()+4)/3+1,COLUMN())))</f>
        <v>0</v>
      </c>
      <c r="K11" s="45">
        <f>IF(MOD(ROW(),3)=0,"",IF(MOD(ROW(),3)=1,
员工工资表!K$2,INDEX(员工工资表!$A:$M,(ROW()+4)/3+1,COLUMN())))</f>
        <v>0</v>
      </c>
      <c r="L11" s="45">
        <f>IF(MOD(ROW(),3)=0,"",IF(MOD(ROW(),3)=1,
员工工资表!L$2,INDEX(员工工资表!$A:$M,(ROW()+4)/3+1,COLUMN())))</f>
        <v>0</v>
      </c>
      <c r="M11" s="45">
        <f>IF(MOD(ROW(),3)=0,"",IF(MOD(ROW(),3)=1,
员工工资表!M$2,INDEX(员工工资表!$A:$M,(ROW()+4)/3+1,COLUMN())))</f>
        <v>0</v>
      </c>
    </row>
    <row r="12" spans="1:13">
      <c r="A12" t="str">
        <f>IF(MOD(ROW(),3)=0,"",IF(MOD(ROW(),3)=1,
员工工资表!A$2,INDEX(员工工资表!$A:$M,(ROW()+4)/3+1,COLUMN())))</f>
        <v/>
      </c>
      <c r="B12" t="str">
        <f>IF(MOD(ROW(),3)=0,"",IF(MOD(ROW(),3)=1,
员工工资表!B$2,INDEX(员工工资表!$A:$M,(ROW()+4)/3+1,COLUMN())))</f>
        <v/>
      </c>
      <c r="C12" t="str">
        <f>IF(MOD(ROW(),3)=0,"",IF(MOD(ROW(),3)=1,
员工工资表!C$2,INDEX(员工工资表!$A:$M,(ROW()+4)/3+1,COLUMN())))</f>
        <v/>
      </c>
      <c r="D12" t="str">
        <f>IF(MOD(ROW(),3)=0,"",IF(MOD(ROW(),3)=1,
员工工资表!D$2,INDEX(员工工资表!$A:$M,(ROW()+4)/3+1,COLUMN())))</f>
        <v/>
      </c>
      <c r="E12" t="str">
        <f>IF(MOD(ROW(),3)=0,"",IF(MOD(ROW(),3)=1,
员工工资表!E$2,INDEX(员工工资表!$A:$M,(ROW()+4)/3+1,COLUMN())))</f>
        <v/>
      </c>
      <c r="F12" t="str">
        <f>IF(MOD(ROW(),3)=0,"",IF(MOD(ROW(),3)=1,
员工工资表!F$2,INDEX(员工工资表!$A:$M,(ROW()+4)/3+1,COLUMN())))</f>
        <v/>
      </c>
      <c r="G12" t="str">
        <f>IF(MOD(ROW(),3)=0,"",IF(MOD(ROW(),3)=1,
员工工资表!G$2,INDEX(员工工资表!$A:$M,(ROW()+4)/3+1,COLUMN())))</f>
        <v/>
      </c>
      <c r="H12" t="str">
        <f>IF(MOD(ROW(),3)=0,"",IF(MOD(ROW(),3)=1,
员工工资表!H$2,INDEX(员工工资表!$A:$M,(ROW()+4)/3+1,COLUMN())))</f>
        <v/>
      </c>
      <c r="I12" t="str">
        <f>IF(MOD(ROW(),3)=0,"",IF(MOD(ROW(),3)=1,
员工工资表!I$2,INDEX(员工工资表!$A:$M,(ROW()+4)/3+1,COLUMN())))</f>
        <v/>
      </c>
      <c r="J12" t="str">
        <f>IF(MOD(ROW(),3)=0,"",IF(MOD(ROW(),3)=1,
员工工资表!J$2,INDEX(员工工资表!$A:$M,(ROW()+4)/3+1,COLUMN())))</f>
        <v/>
      </c>
      <c r="K12" t="str">
        <f>IF(MOD(ROW(),3)=0,"",IF(MOD(ROW(),3)=1,
员工工资表!K$2,INDEX(员工工资表!$A:$M,(ROW()+4)/3+1,COLUMN())))</f>
        <v/>
      </c>
      <c r="L12" t="str">
        <f>IF(MOD(ROW(),3)=0,"",IF(MOD(ROW(),3)=1,
员工工资表!L$2,INDEX(员工工资表!$A:$M,(ROW()+4)/3+1,COLUMN())))</f>
        <v/>
      </c>
      <c r="M12" t="str">
        <f>IF(MOD(ROW(),3)=0,"",IF(MOD(ROW(),3)=1,
员工工资表!M$2,INDEX(员工工资表!$A:$M,(ROW()+4)/3+1,COLUMN())))</f>
        <v/>
      </c>
    </row>
    <row r="13" spans="1:13">
      <c r="A13" t="str">
        <f>IF(MOD(ROW(),3)=0,"",IF(MOD(ROW(),3)=1,
员工工资表!A$2,INDEX(员工工资表!$A:$M,(ROW()+4)/3+1,COLUMN())))</f>
        <v>员工编号</v>
      </c>
      <c r="B13" t="str">
        <f>IF(MOD(ROW(),3)=0,"",IF(MOD(ROW(),3)=1,
员工工资表!B$2,INDEX(员工工资表!$A:$M,(ROW()+4)/3+1,COLUMN())))</f>
        <v>员工姓名</v>
      </c>
      <c r="C13" t="str">
        <f>IF(MOD(ROW(),3)=0,"",IF(MOD(ROW(),3)=1,
员工工资表!C$2,INDEX(员工工资表!$A:$M,(ROW()+4)/3+1,COLUMN())))</f>
        <v>所在部门</v>
      </c>
      <c r="D13" t="str">
        <f>IF(MOD(ROW(),3)=0,"",IF(MOD(ROW(),3)=1,
员工工资表!D$2,INDEX(员工工资表!$A:$M,(ROW()+4)/3+1,COLUMN())))</f>
        <v>基本工资</v>
      </c>
      <c r="E13" t="str">
        <f>IF(MOD(ROW(),3)=0,"",IF(MOD(ROW(),3)=1,
员工工资表!E$2,INDEX(员工工资表!$A:$M,(ROW()+4)/3+1,COLUMN())))</f>
        <v>奖金</v>
      </c>
      <c r="F13" t="str">
        <f>IF(MOD(ROW(),3)=0,"",IF(MOD(ROW(),3)=1,
员工工资表!F$2,INDEX(员工工资表!$A:$M,(ROW()+4)/3+1,COLUMN())))</f>
        <v>住房补助</v>
      </c>
      <c r="G13" t="str">
        <f>IF(MOD(ROW(),3)=0,"",IF(MOD(ROW(),3)=1,
员工工资表!G$2,INDEX(员工工资表!$A:$M,(ROW()+4)/3+1,COLUMN())))</f>
        <v>车费补助</v>
      </c>
      <c r="H13" t="str">
        <f>IF(MOD(ROW(),3)=0,"",IF(MOD(ROW(),3)=1,
员工工资表!H$2,INDEX(员工工资表!$A:$M,(ROW()+4)/3+1,COLUMN())))</f>
        <v>保险金</v>
      </c>
      <c r="I13" t="str">
        <f>IF(MOD(ROW(),3)=0,"",IF(MOD(ROW(),3)=1,
员工工资表!I$2,INDEX(员工工资表!$A:$M,(ROW()+4)/3+1,COLUMN())))</f>
        <v>请假扣款</v>
      </c>
      <c r="J13" t="str">
        <f>IF(MOD(ROW(),3)=0,"",IF(MOD(ROW(),3)=1,
员工工资表!J$2,INDEX(员工工资表!$A:$M,(ROW()+4)/3+1,COLUMN())))</f>
        <v>应发金额</v>
      </c>
      <c r="K13" t="str">
        <f>IF(MOD(ROW(),3)=0,"",IF(MOD(ROW(),3)=1,
员工工资表!K$2,INDEX(员工工资表!$A:$M,(ROW()+4)/3+1,COLUMN())))</f>
        <v>扣税所得额</v>
      </c>
      <c r="L13" t="str">
        <f>IF(MOD(ROW(),3)=0,"",IF(MOD(ROW(),3)=1,
员工工资表!L$2,INDEX(员工工资表!$A:$M,(ROW()+4)/3+1,COLUMN())))</f>
        <v>个人所得税</v>
      </c>
      <c r="M13" t="str">
        <f>IF(MOD(ROW(),3)=0,"",IF(MOD(ROW(),3)=1,
员工工资表!M$2,INDEX(员工工资表!$A:$M,(ROW()+4)/3+1,COLUMN())))</f>
        <v>实发金额</v>
      </c>
    </row>
    <row r="14" spans="1:13">
      <c r="A14">
        <f>IF(MOD(ROW(),3)=0,"",IF(MOD(ROW(),3)=1,
员工工资表!A$2,INDEX(员工工资表!$A:$M,(ROW()+4)/3+1,COLUMN())))</f>
        <v>1005</v>
      </c>
      <c r="B14">
        <f>IF(MOD(ROW(),3)=0,"",IF(MOD(ROW(),3)=1,
员工工资表!B$2,INDEX(员工工资表!$A:$M,(ROW()+4)/3+1,COLUMN())))</f>
        <v>0</v>
      </c>
      <c r="C14">
        <f>IF(MOD(ROW(),3)=0,"",IF(MOD(ROW(),3)=1,
员工工资表!C$2,INDEX(员工工资表!$A:$M,(ROW()+4)/3+1,COLUMN())))</f>
        <v>0</v>
      </c>
      <c r="D14" s="45">
        <f>IF(MOD(ROW(),3)=0,"",IF(MOD(ROW(),3)=1,
员工工资表!D$2,INDEX(员工工资表!$A:$M,(ROW()+4)/3+1,COLUMN())))</f>
        <v>0</v>
      </c>
      <c r="E14" s="45">
        <f>IF(MOD(ROW(),3)=0,"",IF(MOD(ROW(),3)=1,
员工工资表!E$2,INDEX(员工工资表!$A:$M,(ROW()+4)/3+1,COLUMN())))</f>
        <v>0</v>
      </c>
      <c r="F14" s="45">
        <f>IF(MOD(ROW(),3)=0,"",IF(MOD(ROW(),3)=1,
员工工资表!F$2,INDEX(员工工资表!$A:$M,(ROW()+4)/3+1,COLUMN())))</f>
        <v>0</v>
      </c>
      <c r="G14" s="45">
        <f>IF(MOD(ROW(),3)=0,"",IF(MOD(ROW(),3)=1,
员工工资表!G$2,INDEX(员工工资表!$A:$M,(ROW()+4)/3+1,COLUMN())))</f>
        <v>0</v>
      </c>
      <c r="H14" s="45">
        <f>IF(MOD(ROW(),3)=0,"",IF(MOD(ROW(),3)=1,
员工工资表!H$2,INDEX(员工工资表!$A:$M,(ROW()+4)/3+1,COLUMN())))</f>
        <v>0</v>
      </c>
      <c r="I14" s="45">
        <f>IF(MOD(ROW(),3)=0,"",IF(MOD(ROW(),3)=1,
员工工资表!I$2,INDEX(员工工资表!$A:$M,(ROW()+4)/3+1,COLUMN())))</f>
        <v>0</v>
      </c>
      <c r="J14" s="45">
        <f>IF(MOD(ROW(),3)=0,"",IF(MOD(ROW(),3)=1,
员工工资表!J$2,INDEX(员工工资表!$A:$M,(ROW()+4)/3+1,COLUMN())))</f>
        <v>0</v>
      </c>
      <c r="K14" s="45">
        <f>IF(MOD(ROW(),3)=0,"",IF(MOD(ROW(),3)=1,
员工工资表!K$2,INDEX(员工工资表!$A:$M,(ROW()+4)/3+1,COLUMN())))</f>
        <v>0</v>
      </c>
      <c r="L14" s="45">
        <f>IF(MOD(ROW(),3)=0,"",IF(MOD(ROW(),3)=1,
员工工资表!L$2,INDEX(员工工资表!$A:$M,(ROW()+4)/3+1,COLUMN())))</f>
        <v>0</v>
      </c>
      <c r="M14" s="45">
        <f>IF(MOD(ROW(),3)=0,"",IF(MOD(ROW(),3)=1,
员工工资表!M$2,INDEX(员工工资表!$A:$M,(ROW()+4)/3+1,COLUMN())))</f>
        <v>0</v>
      </c>
    </row>
    <row r="15" spans="1:13">
      <c r="A15" t="str">
        <f>IF(MOD(ROW(),3)=0,"",IF(MOD(ROW(),3)=1,
员工工资表!A$2,INDEX(员工工资表!$A:$M,(ROW()+4)/3+1,COLUMN())))</f>
        <v/>
      </c>
      <c r="B15" t="str">
        <f>IF(MOD(ROW(),3)=0,"",IF(MOD(ROW(),3)=1,
员工工资表!B$2,INDEX(员工工资表!$A:$M,(ROW()+4)/3+1,COLUMN())))</f>
        <v/>
      </c>
      <c r="C15" t="str">
        <f>IF(MOD(ROW(),3)=0,"",IF(MOD(ROW(),3)=1,
员工工资表!C$2,INDEX(员工工资表!$A:$M,(ROW()+4)/3+1,COLUMN())))</f>
        <v/>
      </c>
      <c r="D15" t="str">
        <f>IF(MOD(ROW(),3)=0,"",IF(MOD(ROW(),3)=1,
员工工资表!D$2,INDEX(员工工资表!$A:$M,(ROW()+4)/3+1,COLUMN())))</f>
        <v/>
      </c>
      <c r="E15" t="str">
        <f>IF(MOD(ROW(),3)=0,"",IF(MOD(ROW(),3)=1,
员工工资表!E$2,INDEX(员工工资表!$A:$M,(ROW()+4)/3+1,COLUMN())))</f>
        <v/>
      </c>
      <c r="F15" t="str">
        <f>IF(MOD(ROW(),3)=0,"",IF(MOD(ROW(),3)=1,
员工工资表!F$2,INDEX(员工工资表!$A:$M,(ROW()+4)/3+1,COLUMN())))</f>
        <v/>
      </c>
      <c r="G15" t="str">
        <f>IF(MOD(ROW(),3)=0,"",IF(MOD(ROW(),3)=1,
员工工资表!G$2,INDEX(员工工资表!$A:$M,(ROW()+4)/3+1,COLUMN())))</f>
        <v/>
      </c>
      <c r="H15" t="str">
        <f>IF(MOD(ROW(),3)=0,"",IF(MOD(ROW(),3)=1,
员工工资表!H$2,INDEX(员工工资表!$A:$M,(ROW()+4)/3+1,COLUMN())))</f>
        <v/>
      </c>
      <c r="I15" t="str">
        <f>IF(MOD(ROW(),3)=0,"",IF(MOD(ROW(),3)=1,
员工工资表!I$2,INDEX(员工工资表!$A:$M,(ROW()+4)/3+1,COLUMN())))</f>
        <v/>
      </c>
      <c r="J15" t="str">
        <f>IF(MOD(ROW(),3)=0,"",IF(MOD(ROW(),3)=1,
员工工资表!J$2,INDEX(员工工资表!$A:$M,(ROW()+4)/3+1,COLUMN())))</f>
        <v/>
      </c>
      <c r="K15" t="str">
        <f>IF(MOD(ROW(),3)=0,"",IF(MOD(ROW(),3)=1,
员工工资表!K$2,INDEX(员工工资表!$A:$M,(ROW()+4)/3+1,COLUMN())))</f>
        <v/>
      </c>
      <c r="L15" t="str">
        <f>IF(MOD(ROW(),3)=0,"",IF(MOD(ROW(),3)=1,
员工工资表!L$2,INDEX(员工工资表!$A:$M,(ROW()+4)/3+1,COLUMN())))</f>
        <v/>
      </c>
      <c r="M15" t="str">
        <f>IF(MOD(ROW(),3)=0,"",IF(MOD(ROW(),3)=1,
员工工资表!M$2,INDEX(员工工资表!$A:$M,(ROW()+4)/3+1,COLUMN())))</f>
        <v/>
      </c>
    </row>
    <row r="16" spans="1:13">
      <c r="A16" t="str">
        <f>IF(MOD(ROW(),3)=0,"",IF(MOD(ROW(),3)=1,
员工工资表!A$2,INDEX(员工工资表!$A:$M,(ROW()+4)/3+1,COLUMN())))</f>
        <v>员工编号</v>
      </c>
      <c r="B16" t="str">
        <f>IF(MOD(ROW(),3)=0,"",IF(MOD(ROW(),3)=1,
员工工资表!B$2,INDEX(员工工资表!$A:$M,(ROW()+4)/3+1,COLUMN())))</f>
        <v>员工姓名</v>
      </c>
      <c r="C16" t="str">
        <f>IF(MOD(ROW(),3)=0,"",IF(MOD(ROW(),3)=1,
员工工资表!C$2,INDEX(员工工资表!$A:$M,(ROW()+4)/3+1,COLUMN())))</f>
        <v>所在部门</v>
      </c>
      <c r="D16" t="str">
        <f>IF(MOD(ROW(),3)=0,"",IF(MOD(ROW(),3)=1,
员工工资表!D$2,INDEX(员工工资表!$A:$M,(ROW()+4)/3+1,COLUMN())))</f>
        <v>基本工资</v>
      </c>
      <c r="E16" t="str">
        <f>IF(MOD(ROW(),3)=0,"",IF(MOD(ROW(),3)=1,
员工工资表!E$2,INDEX(员工工资表!$A:$M,(ROW()+4)/3+1,COLUMN())))</f>
        <v>奖金</v>
      </c>
      <c r="F16" t="str">
        <f>IF(MOD(ROW(),3)=0,"",IF(MOD(ROW(),3)=1,
员工工资表!F$2,INDEX(员工工资表!$A:$M,(ROW()+4)/3+1,COLUMN())))</f>
        <v>住房补助</v>
      </c>
      <c r="G16" t="str">
        <f>IF(MOD(ROW(),3)=0,"",IF(MOD(ROW(),3)=1,
员工工资表!G$2,INDEX(员工工资表!$A:$M,(ROW()+4)/3+1,COLUMN())))</f>
        <v>车费补助</v>
      </c>
      <c r="H16" t="str">
        <f>IF(MOD(ROW(),3)=0,"",IF(MOD(ROW(),3)=1,
员工工资表!H$2,INDEX(员工工资表!$A:$M,(ROW()+4)/3+1,COLUMN())))</f>
        <v>保险金</v>
      </c>
      <c r="I16" t="str">
        <f>IF(MOD(ROW(),3)=0,"",IF(MOD(ROW(),3)=1,
员工工资表!I$2,INDEX(员工工资表!$A:$M,(ROW()+4)/3+1,COLUMN())))</f>
        <v>请假扣款</v>
      </c>
      <c r="J16" t="str">
        <f>IF(MOD(ROW(),3)=0,"",IF(MOD(ROW(),3)=1,
员工工资表!J$2,INDEX(员工工资表!$A:$M,(ROW()+4)/3+1,COLUMN())))</f>
        <v>应发金额</v>
      </c>
      <c r="K16" t="str">
        <f>IF(MOD(ROW(),3)=0,"",IF(MOD(ROW(),3)=1,
员工工资表!K$2,INDEX(员工工资表!$A:$M,(ROW()+4)/3+1,COLUMN())))</f>
        <v>扣税所得额</v>
      </c>
      <c r="L16" t="str">
        <f>IF(MOD(ROW(),3)=0,"",IF(MOD(ROW(),3)=1,
员工工资表!L$2,INDEX(员工工资表!$A:$M,(ROW()+4)/3+1,COLUMN())))</f>
        <v>个人所得税</v>
      </c>
      <c r="M16" t="str">
        <f>IF(MOD(ROW(),3)=0,"",IF(MOD(ROW(),3)=1,
员工工资表!M$2,INDEX(员工工资表!$A:$M,(ROW()+4)/3+1,COLUMN())))</f>
        <v>实发金额</v>
      </c>
    </row>
    <row r="17" spans="1:14">
      <c r="A17">
        <f>IF(MOD(ROW(),3)=0,"",IF(MOD(ROW(),3)=1,
员工工资表!A$2,INDEX(员工工资表!$A:$M,(ROW()+4)/3+1,COLUMN())))</f>
        <v>1006</v>
      </c>
      <c r="B17">
        <f>IF(MOD(ROW(),3)=0,"",IF(MOD(ROW(),3)=1,
员工工资表!B$2,INDEX(员工工资表!$A:$M,(ROW()+4)/3+1,COLUMN())))</f>
        <v>0</v>
      </c>
      <c r="C17">
        <f>IF(MOD(ROW(),3)=0,"",IF(MOD(ROW(),3)=1,
员工工资表!C$2,INDEX(员工工资表!$A:$M,(ROW()+4)/3+1,COLUMN())))</f>
        <v>0</v>
      </c>
      <c r="D17" s="45">
        <f>IF(MOD(ROW(),3)=0,"",IF(MOD(ROW(),3)=1,
员工工资表!D$2,INDEX(员工工资表!$A:$M,(ROW()+4)/3+1,COLUMN())))</f>
        <v>0</v>
      </c>
      <c r="E17" s="45">
        <f>IF(MOD(ROW(),3)=0,"",IF(MOD(ROW(),3)=1,
员工工资表!E$2,INDEX(员工工资表!$A:$M,(ROW()+4)/3+1,COLUMN())))</f>
        <v>0</v>
      </c>
      <c r="F17" s="45">
        <f>IF(MOD(ROW(),3)=0,"",IF(MOD(ROW(),3)=1,
员工工资表!F$2,INDEX(员工工资表!$A:$M,(ROW()+4)/3+1,COLUMN())))</f>
        <v>0</v>
      </c>
      <c r="G17" s="45">
        <f>IF(MOD(ROW(),3)=0,"",IF(MOD(ROW(),3)=1,
员工工资表!G$2,INDEX(员工工资表!$A:$M,(ROW()+4)/3+1,COLUMN())))</f>
        <v>0</v>
      </c>
      <c r="H17" s="45">
        <f>IF(MOD(ROW(),3)=0,"",IF(MOD(ROW(),3)=1,
员工工资表!H$2,INDEX(员工工资表!$A:$M,(ROW()+4)/3+1,COLUMN())))</f>
        <v>0</v>
      </c>
      <c r="I17" s="45">
        <f>IF(MOD(ROW(),3)=0,"",IF(MOD(ROW(),3)=1,
员工工资表!I$2,INDEX(员工工资表!$A:$M,(ROW()+4)/3+1,COLUMN())))</f>
        <v>0</v>
      </c>
      <c r="J17" s="45">
        <f>IF(MOD(ROW(),3)=0,"",IF(MOD(ROW(),3)=1,
员工工资表!J$2,INDEX(员工工资表!$A:$M,(ROW()+4)/3+1,COLUMN())))</f>
        <v>0</v>
      </c>
      <c r="K17" s="45">
        <f>IF(MOD(ROW(),3)=0,"",IF(MOD(ROW(),3)=1,
员工工资表!K$2,INDEX(员工工资表!$A:$M,(ROW()+4)/3+1,COLUMN())))</f>
        <v>0</v>
      </c>
      <c r="L17" s="45">
        <f>IF(MOD(ROW(),3)=0,"",IF(MOD(ROW(),3)=1,
员工工资表!L$2,INDEX(员工工资表!$A:$M,(ROW()+4)/3+1,COLUMN())))</f>
        <v>0</v>
      </c>
      <c r="M17" s="45">
        <f>IF(MOD(ROW(),3)=0,"",IF(MOD(ROW(),3)=1,
员工工资表!M$2,INDEX(员工工资表!$A:$M,(ROW()+4)/3+1,COLUMN())))</f>
        <v>0</v>
      </c>
    </row>
    <row r="18" spans="1:14">
      <c r="A18" t="str">
        <f>IF(MOD(ROW(),3)=0,"",IF(MOD(ROW(),3)=1,
员工工资表!A$2,INDEX(员工工资表!$A:$M,(ROW()+4)/3+1,COLUMN())))</f>
        <v/>
      </c>
      <c r="B18" t="str">
        <f>IF(MOD(ROW(),3)=0,"",IF(MOD(ROW(),3)=1,
员工工资表!B$2,INDEX(员工工资表!$A:$M,(ROW()+4)/3+1,COLUMN())))</f>
        <v/>
      </c>
      <c r="C18" t="str">
        <f>IF(MOD(ROW(),3)=0,"",IF(MOD(ROW(),3)=1,
员工工资表!C$2,INDEX(员工工资表!$A:$M,(ROW()+4)/3+1,COLUMN())))</f>
        <v/>
      </c>
      <c r="D18" t="str">
        <f>IF(MOD(ROW(),3)=0,"",IF(MOD(ROW(),3)=1,
员工工资表!D$2,INDEX(员工工资表!$A:$M,(ROW()+4)/3+1,COLUMN())))</f>
        <v/>
      </c>
      <c r="E18" t="str">
        <f>IF(MOD(ROW(),3)=0,"",IF(MOD(ROW(),3)=1,
员工工资表!E$2,INDEX(员工工资表!$A:$M,(ROW()+4)/3+1,COLUMN())))</f>
        <v/>
      </c>
      <c r="F18" t="str">
        <f>IF(MOD(ROW(),3)=0,"",IF(MOD(ROW(),3)=1,
员工工资表!F$2,INDEX(员工工资表!$A:$M,(ROW()+4)/3+1,COLUMN())))</f>
        <v/>
      </c>
      <c r="G18" t="str">
        <f>IF(MOD(ROW(),3)=0,"",IF(MOD(ROW(),3)=1,
员工工资表!G$2,INDEX(员工工资表!$A:$M,(ROW()+4)/3+1,COLUMN())))</f>
        <v/>
      </c>
      <c r="H18" t="str">
        <f>IF(MOD(ROW(),3)=0,"",IF(MOD(ROW(),3)=1,
员工工资表!H$2,INDEX(员工工资表!$A:$M,(ROW()+4)/3+1,COLUMN())))</f>
        <v/>
      </c>
      <c r="I18" t="str">
        <f>IF(MOD(ROW(),3)=0,"",IF(MOD(ROW(),3)=1,
员工工资表!I$2,INDEX(员工工资表!$A:$M,(ROW()+4)/3+1,COLUMN())))</f>
        <v/>
      </c>
      <c r="J18" t="str">
        <f>IF(MOD(ROW(),3)=0,"",IF(MOD(ROW(),3)=1,
员工工资表!J$2,INDEX(员工工资表!$A:$M,(ROW()+4)/3+1,COLUMN())))</f>
        <v/>
      </c>
      <c r="K18" t="str">
        <f>IF(MOD(ROW(),3)=0,"",IF(MOD(ROW(),3)=1,
员工工资表!K$2,INDEX(员工工资表!$A:$M,(ROW()+4)/3+1,COLUMN())))</f>
        <v/>
      </c>
      <c r="L18" t="str">
        <f>IF(MOD(ROW(),3)=0,"",IF(MOD(ROW(),3)=1,
员工工资表!L$2,INDEX(员工工资表!$A:$M,(ROW()+4)/3+1,COLUMN())))</f>
        <v/>
      </c>
      <c r="M18" t="str">
        <f>IF(MOD(ROW(),3)=0,"",IF(MOD(ROW(),3)=1,
员工工资表!M$2,INDEX(员工工资表!$A:$M,(ROW()+4)/3+1,COLUMN())))</f>
        <v/>
      </c>
    </row>
    <row r="19" spans="1:14">
      <c r="A19" t="str">
        <f>IF(MOD(ROW(),3)=0,"",IF(MOD(ROW(),3)=1,
员工工资表!A$2,INDEX(员工工资表!$A:$M,(ROW()+4)/3+1,COLUMN())))</f>
        <v>员工编号</v>
      </c>
      <c r="B19" t="str">
        <f>IF(MOD(ROW(),3)=0,"",IF(MOD(ROW(),3)=1,
员工工资表!B$2,INDEX(员工工资表!$A:$M,(ROW()+4)/3+1,COLUMN())))</f>
        <v>员工姓名</v>
      </c>
      <c r="C19" t="str">
        <f>IF(MOD(ROW(),3)=0,"",IF(MOD(ROW(),3)=1,
员工工资表!C$2,INDEX(员工工资表!$A:$M,(ROW()+4)/3+1,COLUMN())))</f>
        <v>所在部门</v>
      </c>
      <c r="D19" t="str">
        <f>IF(MOD(ROW(),3)=0,"",IF(MOD(ROW(),3)=1,
员工工资表!D$2,INDEX(员工工资表!$A:$M,(ROW()+4)/3+1,COLUMN())))</f>
        <v>基本工资</v>
      </c>
      <c r="E19" t="str">
        <f>IF(MOD(ROW(),3)=0,"",IF(MOD(ROW(),3)=1,
员工工资表!E$2,INDEX(员工工资表!$A:$M,(ROW()+4)/3+1,COLUMN())))</f>
        <v>奖金</v>
      </c>
      <c r="F19" t="str">
        <f>IF(MOD(ROW(),3)=0,"",IF(MOD(ROW(),3)=1,
员工工资表!F$2,INDEX(员工工资表!$A:$M,(ROW()+4)/3+1,COLUMN())))</f>
        <v>住房补助</v>
      </c>
      <c r="G19" t="str">
        <f>IF(MOD(ROW(),3)=0,"",IF(MOD(ROW(),3)=1,
员工工资表!G$2,INDEX(员工工资表!$A:$M,(ROW()+4)/3+1,COLUMN())))</f>
        <v>车费补助</v>
      </c>
      <c r="H19" t="str">
        <f>IF(MOD(ROW(),3)=0,"",IF(MOD(ROW(),3)=1,
员工工资表!H$2,INDEX(员工工资表!$A:$M,(ROW()+4)/3+1,COLUMN())))</f>
        <v>保险金</v>
      </c>
      <c r="I19" t="str">
        <f>IF(MOD(ROW(),3)=0,"",IF(MOD(ROW(),3)=1,
员工工资表!I$2,INDEX(员工工资表!$A:$M,(ROW()+4)/3+1,COLUMN())))</f>
        <v>请假扣款</v>
      </c>
      <c r="J19" t="str">
        <f>IF(MOD(ROW(),3)=0,"",IF(MOD(ROW(),3)=1,
员工工资表!J$2,INDEX(员工工资表!$A:$M,(ROW()+4)/3+1,COLUMN())))</f>
        <v>应发金额</v>
      </c>
      <c r="K19" t="str">
        <f>IF(MOD(ROW(),3)=0,"",IF(MOD(ROW(),3)=1,
员工工资表!K$2,INDEX(员工工资表!$A:$M,(ROW()+4)/3+1,COLUMN())))</f>
        <v>扣税所得额</v>
      </c>
      <c r="L19" t="str">
        <f>IF(MOD(ROW(),3)=0,"",IF(MOD(ROW(),3)=1,
员工工资表!L$2,INDEX(员工工资表!$A:$M,(ROW()+4)/3+1,COLUMN())))</f>
        <v>个人所得税</v>
      </c>
      <c r="M19" t="str">
        <f>IF(MOD(ROW(),3)=0,"",IF(MOD(ROW(),3)=1,
员工工资表!M$2,INDEX(员工工资表!$A:$M,(ROW()+4)/3+1,COLUMN())))</f>
        <v>实发金额</v>
      </c>
    </row>
    <row r="20" spans="1:14">
      <c r="A20">
        <f>IF(MOD(ROW(),3)=0,"",IF(MOD(ROW(),3)=1,
员工工资表!A$2,INDEX(员工工资表!$A:$M,(ROW()+4)/3+1,COLUMN())))</f>
        <v>1007</v>
      </c>
      <c r="B20">
        <f>IF(MOD(ROW(),3)=0,"",IF(MOD(ROW(),3)=1,
员工工资表!B$2,INDEX(员工工资表!$A:$M,(ROW()+4)/3+1,COLUMN())))</f>
        <v>0</v>
      </c>
      <c r="C20">
        <f>IF(MOD(ROW(),3)=0,"",IF(MOD(ROW(),3)=1,
员工工资表!C$2,INDEX(员工工资表!$A:$M,(ROW()+4)/3+1,COLUMN())))</f>
        <v>0</v>
      </c>
      <c r="D20" s="45">
        <f>IF(MOD(ROW(),3)=0,"",IF(MOD(ROW(),3)=1,
员工工资表!D$2,INDEX(员工工资表!$A:$M,(ROW()+4)/3+1,COLUMN())))</f>
        <v>0</v>
      </c>
      <c r="E20" s="45">
        <f>IF(MOD(ROW(),3)=0,"",IF(MOD(ROW(),3)=1,
员工工资表!E$2,INDEX(员工工资表!$A:$M,(ROW()+4)/3+1,COLUMN())))</f>
        <v>0</v>
      </c>
      <c r="F20" s="45">
        <f>IF(MOD(ROW(),3)=0,"",IF(MOD(ROW(),3)=1,
员工工资表!F$2,INDEX(员工工资表!$A:$M,(ROW()+4)/3+1,COLUMN())))</f>
        <v>0</v>
      </c>
      <c r="G20" s="45">
        <f>IF(MOD(ROW(),3)=0,"",IF(MOD(ROW(),3)=1,
员工工资表!G$2,INDEX(员工工资表!$A:$M,(ROW()+4)/3+1,COLUMN())))</f>
        <v>0</v>
      </c>
      <c r="H20" s="45">
        <f>IF(MOD(ROW(),3)=0,"",IF(MOD(ROW(),3)=1,
员工工资表!H$2,INDEX(员工工资表!$A:$M,(ROW()+4)/3+1,COLUMN())))</f>
        <v>0</v>
      </c>
      <c r="I20" s="45">
        <f>IF(MOD(ROW(),3)=0,"",IF(MOD(ROW(),3)=1,
员工工资表!I$2,INDEX(员工工资表!$A:$M,(ROW()+4)/3+1,COLUMN())))</f>
        <v>0</v>
      </c>
      <c r="J20" s="45">
        <f>IF(MOD(ROW(),3)=0,"",IF(MOD(ROW(),3)=1,
员工工资表!J$2,INDEX(员工工资表!$A:$M,(ROW()+4)/3+1,COLUMN())))</f>
        <v>0</v>
      </c>
      <c r="K20" s="45">
        <f>IF(MOD(ROW(),3)=0,"",IF(MOD(ROW(),3)=1,
员工工资表!K$2,INDEX(员工工资表!$A:$M,(ROW()+4)/3+1,COLUMN())))</f>
        <v>0</v>
      </c>
      <c r="L20" s="45">
        <f>IF(MOD(ROW(),3)=0,"",IF(MOD(ROW(),3)=1,
员工工资表!L$2,INDEX(员工工资表!$A:$M,(ROW()+4)/3+1,COLUMN())))</f>
        <v>0</v>
      </c>
      <c r="M20" s="45">
        <f>IF(MOD(ROW(),3)=0,"",IF(MOD(ROW(),3)=1,
员工工资表!M$2,INDEX(员工工资表!$A:$M,(ROW()+4)/3+1,COLUMN())))</f>
        <v>0</v>
      </c>
    </row>
    <row r="21" spans="1:14">
      <c r="A21" t="str">
        <f>IF(MOD(ROW(),3)=0,"",IF(MOD(ROW(),3)=1,
员工工资表!A$2,INDEX(员工工资表!$A:$M,(ROW()+4)/3+1,COLUMN())))</f>
        <v/>
      </c>
      <c r="B21" t="str">
        <f>IF(MOD(ROW(),3)=0,"",IF(MOD(ROW(),3)=1,
员工工资表!B$2,INDEX(员工工资表!$A:$M,(ROW()+4)/3+1,COLUMN())))</f>
        <v/>
      </c>
      <c r="C21" t="str">
        <f>IF(MOD(ROW(),3)=0,"",IF(MOD(ROW(),3)=1,
员工工资表!C$2,INDEX(员工工资表!$A:$M,(ROW()+4)/3+1,COLUMN())))</f>
        <v/>
      </c>
      <c r="D21" t="str">
        <f>IF(MOD(ROW(),3)=0,"",IF(MOD(ROW(),3)=1,
员工工资表!D$2,INDEX(员工工资表!$A:$M,(ROW()+4)/3+1,COLUMN())))</f>
        <v/>
      </c>
      <c r="E21" t="str">
        <f>IF(MOD(ROW(),3)=0,"",IF(MOD(ROW(),3)=1,
员工工资表!E$2,INDEX(员工工资表!$A:$M,(ROW()+4)/3+1,COLUMN())))</f>
        <v/>
      </c>
      <c r="F21" t="str">
        <f>IF(MOD(ROW(),3)=0,"",IF(MOD(ROW(),3)=1,
员工工资表!F$2,INDEX(员工工资表!$A:$M,(ROW()+4)/3+1,COLUMN())))</f>
        <v/>
      </c>
      <c r="G21" t="str">
        <f>IF(MOD(ROW(),3)=0,"",IF(MOD(ROW(),3)=1,
员工工资表!G$2,INDEX(员工工资表!$A:$M,(ROW()+4)/3+1,COLUMN())))</f>
        <v/>
      </c>
      <c r="H21" t="str">
        <f>IF(MOD(ROW(),3)=0,"",IF(MOD(ROW(),3)=1,
员工工资表!H$2,INDEX(员工工资表!$A:$M,(ROW()+4)/3+1,COLUMN())))</f>
        <v/>
      </c>
      <c r="I21" t="str">
        <f>IF(MOD(ROW(),3)=0,"",IF(MOD(ROW(),3)=1,
员工工资表!I$2,INDEX(员工工资表!$A:$M,(ROW()+4)/3+1,COLUMN())))</f>
        <v/>
      </c>
      <c r="J21" t="str">
        <f>IF(MOD(ROW(),3)=0,"",IF(MOD(ROW(),3)=1,
员工工资表!J$2,INDEX(员工工资表!$A:$M,(ROW()+4)/3+1,COLUMN())))</f>
        <v/>
      </c>
      <c r="K21" t="str">
        <f>IF(MOD(ROW(),3)=0,"",IF(MOD(ROW(),3)=1,
员工工资表!K$2,INDEX(员工工资表!$A:$M,(ROW()+4)/3+1,COLUMN())))</f>
        <v/>
      </c>
      <c r="L21" t="str">
        <f>IF(MOD(ROW(),3)=0,"",IF(MOD(ROW(),3)=1,
员工工资表!L$2,INDEX(员工工资表!$A:$M,(ROW()+4)/3+1,COLUMN())))</f>
        <v/>
      </c>
      <c r="M21" t="str">
        <f>IF(MOD(ROW(),3)=0,"",IF(MOD(ROW(),3)=1,
员工工资表!M$2,INDEX(员工工资表!$A:$M,(ROW()+4)/3+1,COLUMN())))</f>
        <v/>
      </c>
    </row>
    <row r="22" spans="1:14">
      <c r="A22" t="str">
        <f>IF(MOD(ROW(),3)=0,"",IF(MOD(ROW(),3)=1,
员工工资表!A$2,INDEX(员工工资表!$A:$M,(ROW()+4)/3+1,COLUMN())))</f>
        <v>员工编号</v>
      </c>
      <c r="B22" t="str">
        <f>IF(MOD(ROW(),3)=0,"",IF(MOD(ROW(),3)=1,
员工工资表!B$2,INDEX(员工工资表!$A:$M,(ROW()+4)/3+1,COLUMN())))</f>
        <v>员工姓名</v>
      </c>
      <c r="C22" t="str">
        <f>IF(MOD(ROW(),3)=0,"",IF(MOD(ROW(),3)=1,
员工工资表!C$2,INDEX(员工工资表!$A:$M,(ROW()+4)/3+1,COLUMN())))</f>
        <v>所在部门</v>
      </c>
      <c r="D22" t="str">
        <f>IF(MOD(ROW(),3)=0,"",IF(MOD(ROW(),3)=1,
员工工资表!D$2,INDEX(员工工资表!$A:$M,(ROW()+4)/3+1,COLUMN())))</f>
        <v>基本工资</v>
      </c>
      <c r="E22" t="str">
        <f>IF(MOD(ROW(),3)=0,"",IF(MOD(ROW(),3)=1,
员工工资表!E$2,INDEX(员工工资表!$A:$M,(ROW()+4)/3+1,COLUMN())))</f>
        <v>奖金</v>
      </c>
      <c r="F22" t="str">
        <f>IF(MOD(ROW(),3)=0,"",IF(MOD(ROW(),3)=1,
员工工资表!F$2,INDEX(员工工资表!$A:$M,(ROW()+4)/3+1,COLUMN())))</f>
        <v>住房补助</v>
      </c>
      <c r="G22" t="str">
        <f>IF(MOD(ROW(),3)=0,"",IF(MOD(ROW(),3)=1,
员工工资表!G$2,INDEX(员工工资表!$A:$M,(ROW()+4)/3+1,COLUMN())))</f>
        <v>车费补助</v>
      </c>
      <c r="H22" t="str">
        <f>IF(MOD(ROW(),3)=0,"",IF(MOD(ROW(),3)=1,
员工工资表!H$2,INDEX(员工工资表!$A:$M,(ROW()+4)/3+1,COLUMN())))</f>
        <v>保险金</v>
      </c>
      <c r="I22" t="str">
        <f>IF(MOD(ROW(),3)=0,"",IF(MOD(ROW(),3)=1,
员工工资表!I$2,INDEX(员工工资表!$A:$M,(ROW()+4)/3+1,COLUMN())))</f>
        <v>请假扣款</v>
      </c>
      <c r="J22" t="str">
        <f>IF(MOD(ROW(),3)=0,"",IF(MOD(ROW(),3)=1,
员工工资表!J$2,INDEX(员工工资表!$A:$M,(ROW()+4)/3+1,COLUMN())))</f>
        <v>应发金额</v>
      </c>
      <c r="K22" t="str">
        <f>IF(MOD(ROW(),3)=0,"",IF(MOD(ROW(),3)=1,
员工工资表!K$2,INDEX(员工工资表!$A:$M,(ROW()+4)/3+1,COLUMN())))</f>
        <v>扣税所得额</v>
      </c>
      <c r="L22" t="str">
        <f>IF(MOD(ROW(),3)=0,"",IF(MOD(ROW(),3)=1,
员工工资表!L$2,INDEX(员工工资表!$A:$M,(ROW()+4)/3+1,COLUMN())))</f>
        <v>个人所得税</v>
      </c>
      <c r="M22" t="str">
        <f>IF(MOD(ROW(),3)=0,"",IF(MOD(ROW(),3)=1,
员工工资表!M$2,INDEX(员工工资表!$A:$M,(ROW()+4)/3+1,COLUMN())))</f>
        <v>实发金额</v>
      </c>
    </row>
    <row r="23" spans="1:14">
      <c r="A23">
        <f>IF(MOD(ROW(),3)=0,"",IF(MOD(ROW(),3)=1,
员工工资表!A$2,INDEX(员工工资表!$A:$M,(ROW()+4)/3+1,COLUMN())))</f>
        <v>1008</v>
      </c>
      <c r="B23">
        <f>IF(MOD(ROW(),3)=0,"",IF(MOD(ROW(),3)=1,
员工工资表!B$2,INDEX(员工工资表!$A:$M,(ROW()+4)/3+1,COLUMN())))</f>
        <v>0</v>
      </c>
      <c r="C23">
        <f>IF(MOD(ROW(),3)=0,"",IF(MOD(ROW(),3)=1,
员工工资表!C$2,INDEX(员工工资表!$A:$M,(ROW()+4)/3+1,COLUMN())))</f>
        <v>0</v>
      </c>
      <c r="D23" s="45">
        <f>IF(MOD(ROW(),3)=0,"",IF(MOD(ROW(),3)=1,
员工工资表!D$2,INDEX(员工工资表!$A:$M,(ROW()+4)/3+1,COLUMN())))</f>
        <v>0</v>
      </c>
      <c r="E23" s="45">
        <f>IF(MOD(ROW(),3)=0,"",IF(MOD(ROW(),3)=1,
员工工资表!E$2,INDEX(员工工资表!$A:$M,(ROW()+4)/3+1,COLUMN())))</f>
        <v>0</v>
      </c>
      <c r="F23" s="45">
        <f>IF(MOD(ROW(),3)=0,"",IF(MOD(ROW(),3)=1,
员工工资表!F$2,INDEX(员工工资表!$A:$M,(ROW()+4)/3+1,COLUMN())))</f>
        <v>0</v>
      </c>
      <c r="G23" s="45">
        <f>IF(MOD(ROW(),3)=0,"",IF(MOD(ROW(),3)=1,
员工工资表!G$2,INDEX(员工工资表!$A:$M,(ROW()+4)/3+1,COLUMN())))</f>
        <v>0</v>
      </c>
      <c r="H23" s="45">
        <f>IF(MOD(ROW(),3)=0,"",IF(MOD(ROW(),3)=1,
员工工资表!H$2,INDEX(员工工资表!$A:$M,(ROW()+4)/3+1,COLUMN())))</f>
        <v>0</v>
      </c>
      <c r="I23" s="45">
        <f>IF(MOD(ROW(),3)=0,"",IF(MOD(ROW(),3)=1,
员工工资表!I$2,INDEX(员工工资表!$A:$M,(ROW()+4)/3+1,COLUMN())))</f>
        <v>0</v>
      </c>
      <c r="J23" s="45">
        <f>IF(MOD(ROW(),3)=0,"",IF(MOD(ROW(),3)=1,
员工工资表!J$2,INDEX(员工工资表!$A:$M,(ROW()+4)/3+1,COLUMN())))</f>
        <v>0</v>
      </c>
      <c r="K23" s="45">
        <f>IF(MOD(ROW(),3)=0,"",IF(MOD(ROW(),3)=1,
员工工资表!K$2,INDEX(员工工资表!$A:$M,(ROW()+4)/3+1,COLUMN())))</f>
        <v>0</v>
      </c>
      <c r="L23" s="45">
        <f>IF(MOD(ROW(),3)=0,"",IF(MOD(ROW(),3)=1,
员工工资表!L$2,INDEX(员工工资表!$A:$M,(ROW()+4)/3+1,COLUMN())))</f>
        <v>0</v>
      </c>
      <c r="M23" s="45">
        <f>IF(MOD(ROW(),3)=0,"",IF(MOD(ROW(),3)=1,
员工工资表!M$2,INDEX(员工工资表!$A:$M,(ROW()+4)/3+1,COLUMN())))</f>
        <v>0</v>
      </c>
    </row>
    <row r="24" spans="1:14">
      <c r="A24" t="str">
        <f>IF(MOD(ROW(),3)=0,"",IF(MOD(ROW(),3)=1,
员工工资表!A$2,INDEX(员工工资表!$A:$M,(ROW()+4)/3+1,COLUMN())))</f>
        <v/>
      </c>
      <c r="B24" t="str">
        <f>IF(MOD(ROW(),3)=0,"",IF(MOD(ROW(),3)=1,
员工工资表!B$2,INDEX(员工工资表!$A:$M,(ROW()+4)/3+1,COLUMN())))</f>
        <v/>
      </c>
      <c r="C24" t="str">
        <f>IF(MOD(ROW(),3)=0,"",IF(MOD(ROW(),3)=1,
员工工资表!C$2,INDEX(员工工资表!$A:$M,(ROW()+4)/3+1,COLUMN())))</f>
        <v/>
      </c>
      <c r="D24" t="str">
        <f>IF(MOD(ROW(),3)=0,"",IF(MOD(ROW(),3)=1,
员工工资表!D$2,INDEX(员工工资表!$A:$M,(ROW()+4)/3+1,COLUMN())))</f>
        <v/>
      </c>
      <c r="E24" t="str">
        <f>IF(MOD(ROW(),3)=0,"",IF(MOD(ROW(),3)=1,
员工工资表!E$2,INDEX(员工工资表!$A:$M,(ROW()+4)/3+1,COLUMN())))</f>
        <v/>
      </c>
      <c r="F24" t="str">
        <f>IF(MOD(ROW(),3)=0,"",IF(MOD(ROW(),3)=1,
员工工资表!F$2,INDEX(员工工资表!$A:$M,(ROW()+4)/3+1,COLUMN())))</f>
        <v/>
      </c>
      <c r="G24" t="str">
        <f>IF(MOD(ROW(),3)=0,"",IF(MOD(ROW(),3)=1,
员工工资表!G$2,INDEX(员工工资表!$A:$M,(ROW()+4)/3+1,COLUMN())))</f>
        <v/>
      </c>
      <c r="H24" t="str">
        <f>IF(MOD(ROW(),3)=0,"",IF(MOD(ROW(),3)=1,
员工工资表!H$2,INDEX(员工工资表!$A:$M,(ROW()+4)/3+1,COLUMN())))</f>
        <v/>
      </c>
      <c r="I24" t="str">
        <f>IF(MOD(ROW(),3)=0,"",IF(MOD(ROW(),3)=1,
员工工资表!I$2,INDEX(员工工资表!$A:$M,(ROW()+4)/3+1,COLUMN())))</f>
        <v/>
      </c>
      <c r="J24" t="str">
        <f>IF(MOD(ROW(),3)=0,"",IF(MOD(ROW(),3)=1,
员工工资表!J$2,INDEX(员工工资表!$A:$M,(ROW()+4)/3+1,COLUMN())))</f>
        <v/>
      </c>
      <c r="K24" t="str">
        <f>IF(MOD(ROW(),3)=0,"",IF(MOD(ROW(),3)=1,
员工工资表!K$2,INDEX(员工工资表!$A:$M,(ROW()+4)/3+1,COLUMN())))</f>
        <v/>
      </c>
      <c r="L24" t="str">
        <f>IF(MOD(ROW(),3)=0,"",IF(MOD(ROW(),3)=1,
员工工资表!L$2,INDEX(员工工资表!$A:$M,(ROW()+4)/3+1,COLUMN())))</f>
        <v/>
      </c>
      <c r="M24" t="str">
        <f>IF(MOD(ROW(),3)=0,"",IF(MOD(ROW(),3)=1,
员工工资表!M$2,INDEX(员工工资表!$A:$M,(ROW()+4)/3+1,COLUMN())))</f>
        <v/>
      </c>
    </row>
    <row r="25" spans="1:14">
      <c r="A25" t="str">
        <f>IF(MOD(ROW(),3)=0,"",IF(MOD(ROW(),3)=1,
员工工资表!A$2,INDEX(员工工资表!$A:$M,(ROW()+4)/3+1,COLUMN())))</f>
        <v>员工编号</v>
      </c>
      <c r="B25" t="str">
        <f>IF(MOD(ROW(),3)=0,"",IF(MOD(ROW(),3)=1,
员工工资表!B$2,INDEX(员工工资表!$A:$M,(ROW()+4)/3+1,COLUMN())))</f>
        <v>员工姓名</v>
      </c>
      <c r="C25" t="str">
        <f>IF(MOD(ROW(),3)=0,"",IF(MOD(ROW(),3)=1,
员工工资表!C$2,INDEX(员工工资表!$A:$M,(ROW()+4)/3+1,COLUMN())))</f>
        <v>所在部门</v>
      </c>
      <c r="D25" t="str">
        <f>IF(MOD(ROW(),3)=0,"",IF(MOD(ROW(),3)=1,
员工工资表!D$2,INDEX(员工工资表!$A:$M,(ROW()+4)/3+1,COLUMN())))</f>
        <v>基本工资</v>
      </c>
      <c r="E25" t="str">
        <f>IF(MOD(ROW(),3)=0,"",IF(MOD(ROW(),3)=1,
员工工资表!E$2,INDEX(员工工资表!$A:$M,(ROW()+4)/3+1,COLUMN())))</f>
        <v>奖金</v>
      </c>
      <c r="F25" t="str">
        <f>IF(MOD(ROW(),3)=0,"",IF(MOD(ROW(),3)=1,
员工工资表!F$2,INDEX(员工工资表!$A:$M,(ROW()+4)/3+1,COLUMN())))</f>
        <v>住房补助</v>
      </c>
      <c r="G25" t="str">
        <f>IF(MOD(ROW(),3)=0,"",IF(MOD(ROW(),3)=1,
员工工资表!G$2,INDEX(员工工资表!$A:$M,(ROW()+4)/3+1,COLUMN())))</f>
        <v>车费补助</v>
      </c>
      <c r="H25" t="str">
        <f>IF(MOD(ROW(),3)=0,"",IF(MOD(ROW(),3)=1,
员工工资表!H$2,INDEX(员工工资表!$A:$M,(ROW()+4)/3+1,COLUMN())))</f>
        <v>保险金</v>
      </c>
      <c r="I25" t="str">
        <f>IF(MOD(ROW(),3)=0,"",IF(MOD(ROW(),3)=1,
员工工资表!I$2,INDEX(员工工资表!$A:$M,(ROW()+4)/3+1,COLUMN())))</f>
        <v>请假扣款</v>
      </c>
      <c r="J25" t="str">
        <f>IF(MOD(ROW(),3)=0,"",IF(MOD(ROW(),3)=1,
员工工资表!J$2,INDEX(员工工资表!$A:$M,(ROW()+4)/3+1,COLUMN())))</f>
        <v>应发金额</v>
      </c>
      <c r="K25" t="str">
        <f>IF(MOD(ROW(),3)=0,"",IF(MOD(ROW(),3)=1,
员工工资表!K$2,INDEX(员工工资表!$A:$M,(ROW()+4)/3+1,COLUMN())))</f>
        <v>扣税所得额</v>
      </c>
      <c r="L25" t="str">
        <f>IF(MOD(ROW(),3)=0,"",IF(MOD(ROW(),3)=1,
员工工资表!L$2,INDEX(员工工资表!$A:$M,(ROW()+4)/3+1,COLUMN())))</f>
        <v>个人所得税</v>
      </c>
      <c r="M25" t="str">
        <f>IF(MOD(ROW(),3)=0,"",IF(MOD(ROW(),3)=1,
员工工资表!M$2,INDEX(员工工资表!$A:$M,(ROW()+4)/3+1,COLUMN())))</f>
        <v>实发金额</v>
      </c>
    </row>
    <row r="26" spans="1:14">
      <c r="A26">
        <f>IF(MOD(ROW(),3)=0,"",IF(MOD(ROW(),3)=1,
员工工资表!A$2,INDEX(员工工资表!$A:$M,(ROW()+4)/3+1,COLUMN())))</f>
        <v>1009</v>
      </c>
      <c r="B26">
        <f>IF(MOD(ROW(),3)=0,"",IF(MOD(ROW(),3)=1,
员工工资表!B$2,INDEX(员工工资表!$A:$M,(ROW()+4)/3+1,COLUMN())))</f>
        <v>0</v>
      </c>
      <c r="C26">
        <f>IF(MOD(ROW(),3)=0,"",IF(MOD(ROW(),3)=1,
员工工资表!C$2,INDEX(员工工资表!$A:$M,(ROW()+4)/3+1,COLUMN())))</f>
        <v>0</v>
      </c>
      <c r="D26" s="45">
        <f>IF(MOD(ROW(),3)=0,"",IF(MOD(ROW(),3)=1,
员工工资表!D$2,INDEX(员工工资表!$A:$M,(ROW()+4)/3+1,COLUMN())))</f>
        <v>0</v>
      </c>
      <c r="E26" s="45">
        <f>IF(MOD(ROW(),3)=0,"",IF(MOD(ROW(),3)=1,
员工工资表!E$2,INDEX(员工工资表!$A:$M,(ROW()+4)/3+1,COLUMN())))</f>
        <v>0</v>
      </c>
      <c r="F26" s="45">
        <f>IF(MOD(ROW(),3)=0,"",IF(MOD(ROW(),3)=1,
员工工资表!F$2,INDEX(员工工资表!$A:$M,(ROW()+4)/3+1,COLUMN())))</f>
        <v>0</v>
      </c>
      <c r="G26" s="45">
        <f>IF(MOD(ROW(),3)=0,"",IF(MOD(ROW(),3)=1,
员工工资表!G$2,INDEX(员工工资表!$A:$M,(ROW()+4)/3+1,COLUMN())))</f>
        <v>0</v>
      </c>
      <c r="H26" s="45">
        <f>IF(MOD(ROW(),3)=0,"",IF(MOD(ROW(),3)=1,
员工工资表!H$2,INDEX(员工工资表!$A:$M,(ROW()+4)/3+1,COLUMN())))</f>
        <v>0</v>
      </c>
      <c r="I26" s="45">
        <f>IF(MOD(ROW(),3)=0,"",IF(MOD(ROW(),3)=1,
员工工资表!I$2,INDEX(员工工资表!$A:$M,(ROW()+4)/3+1,COLUMN())))</f>
        <v>0</v>
      </c>
      <c r="J26" s="45">
        <f>IF(MOD(ROW(),3)=0,"",IF(MOD(ROW(),3)=1,
员工工资表!J$2,INDEX(员工工资表!$A:$M,(ROW()+4)/3+1,COLUMN())))</f>
        <v>0</v>
      </c>
      <c r="K26" s="45">
        <f>IF(MOD(ROW(),3)=0,"",IF(MOD(ROW(),3)=1,
员工工资表!K$2,INDEX(员工工资表!$A:$M,(ROW()+4)/3+1,COLUMN())))</f>
        <v>0</v>
      </c>
      <c r="L26" s="45">
        <f>IF(MOD(ROW(),3)=0,"",IF(MOD(ROW(),3)=1,
员工工资表!L$2,INDEX(员工工资表!$A:$M,(ROW()+4)/3+1,COLUMN())))</f>
        <v>0</v>
      </c>
      <c r="M26" s="45">
        <f>IF(MOD(ROW(),3)=0,"",IF(MOD(ROW(),3)=1,
员工工资表!M$2,INDEX(员工工资表!$A:$M,(ROW()+4)/3+1,COLUMN())))</f>
        <v>0</v>
      </c>
    </row>
    <row r="27" spans="1:14">
      <c r="A27" t="str">
        <f>IF(MOD(ROW(),3)=0,"",IF(MOD(ROW(),3)=1,
员工工资表!A$2,INDEX(员工工资表!$A:$M,(ROW()+4)/3+1,COLUMN())))</f>
        <v/>
      </c>
      <c r="B27" t="str">
        <f>IF(MOD(ROW(),3)=0,"",IF(MOD(ROW(),3)=1,
员工工资表!B$2,INDEX(员工工资表!$A:$M,(ROW()+4)/3+1,COLUMN())))</f>
        <v/>
      </c>
      <c r="C27" t="str">
        <f>IF(MOD(ROW(),3)=0,"",IF(MOD(ROW(),3)=1,
员工工资表!C$2,INDEX(员工工资表!$A:$M,(ROW()+4)/3+1,COLUMN())))</f>
        <v/>
      </c>
      <c r="D27" t="str">
        <f>IF(MOD(ROW(),3)=0,"",IF(MOD(ROW(),3)=1,
员工工资表!D$2,INDEX(员工工资表!$A:$M,(ROW()+4)/3+1,COLUMN())))</f>
        <v/>
      </c>
      <c r="E27" t="str">
        <f>IF(MOD(ROW(),3)=0,"",IF(MOD(ROW(),3)=1,
员工工资表!E$2,INDEX(员工工资表!$A:$M,(ROW()+4)/3+1,COLUMN())))</f>
        <v/>
      </c>
      <c r="F27" t="str">
        <f>IF(MOD(ROW(),3)=0,"",IF(MOD(ROW(),3)=1,
员工工资表!F$2,INDEX(员工工资表!$A:$M,(ROW()+4)/3+1,COLUMN())))</f>
        <v/>
      </c>
      <c r="G27" t="str">
        <f>IF(MOD(ROW(),3)=0,"",IF(MOD(ROW(),3)=1,
员工工资表!G$2,INDEX(员工工资表!$A:$M,(ROW()+4)/3+1,COLUMN())))</f>
        <v/>
      </c>
      <c r="H27" t="str">
        <f>IF(MOD(ROW(),3)=0,"",IF(MOD(ROW(),3)=1,
员工工资表!H$2,INDEX(员工工资表!$A:$M,(ROW()+4)/3+1,COLUMN())))</f>
        <v/>
      </c>
      <c r="I27" t="str">
        <f>IF(MOD(ROW(),3)=0,"",IF(MOD(ROW(),3)=1,
员工工资表!I$2,INDEX(员工工资表!$A:$M,(ROW()+4)/3+1,COLUMN())))</f>
        <v/>
      </c>
      <c r="J27" t="str">
        <f>IF(MOD(ROW(),3)=0,"",IF(MOD(ROW(),3)=1,
员工工资表!J$2,INDEX(员工工资表!$A:$M,(ROW()+4)/3+1,COLUMN())))</f>
        <v/>
      </c>
      <c r="K27" t="str">
        <f>IF(MOD(ROW(),3)=0,"",IF(MOD(ROW(),3)=1,
员工工资表!K$2,INDEX(员工工资表!$A:$M,(ROW()+4)/3+1,COLUMN())))</f>
        <v/>
      </c>
      <c r="L27" t="str">
        <f>IF(MOD(ROW(),3)=0,"",IF(MOD(ROW(),3)=1,
员工工资表!L$2,INDEX(员工工资表!$A:$M,(ROW()+4)/3+1,COLUMN())))</f>
        <v/>
      </c>
      <c r="M27" t="str">
        <f>IF(MOD(ROW(),3)=0,"",IF(MOD(ROW(),3)=1,
员工工资表!M$2,INDEX(员工工资表!$A:$M,(ROW()+4)/3+1,COLUMN())))</f>
        <v/>
      </c>
    </row>
    <row r="28" spans="1:14">
      <c r="A28" t="str">
        <f>IF(MOD(ROW(),3)=0,"",IF(MOD(ROW(),3)=1,
员工工资表!A$2,INDEX(员工工资表!$A:$M,(ROW()+4)/3+1,COLUMN())))</f>
        <v>员工编号</v>
      </c>
      <c r="B28" t="str">
        <f>IF(MOD(ROW(),3)=0,"",IF(MOD(ROW(),3)=1,
员工工资表!B$2,INDEX(员工工资表!$A:$M,(ROW()+4)/3+1,COLUMN())))</f>
        <v>员工姓名</v>
      </c>
      <c r="C28" t="str">
        <f>IF(MOD(ROW(),3)=0,"",IF(MOD(ROW(),3)=1,
员工工资表!C$2,INDEX(员工工资表!$A:$M,(ROW()+4)/3+1,COLUMN())))</f>
        <v>所在部门</v>
      </c>
      <c r="D28" t="str">
        <f>IF(MOD(ROW(),3)=0,"",IF(MOD(ROW(),3)=1,
员工工资表!D$2,INDEX(员工工资表!$A:$M,(ROW()+4)/3+1,COLUMN())))</f>
        <v>基本工资</v>
      </c>
      <c r="E28" t="str">
        <f>IF(MOD(ROW(),3)=0,"",IF(MOD(ROW(),3)=1,
员工工资表!E$2,INDEX(员工工资表!$A:$M,(ROW()+4)/3+1,COLUMN())))</f>
        <v>奖金</v>
      </c>
      <c r="F28" t="str">
        <f>IF(MOD(ROW(),3)=0,"",IF(MOD(ROW(),3)=1,
员工工资表!F$2,INDEX(员工工资表!$A:$M,(ROW()+4)/3+1,COLUMN())))</f>
        <v>住房补助</v>
      </c>
      <c r="G28" t="str">
        <f>IF(MOD(ROW(),3)=0,"",IF(MOD(ROW(),3)=1,
员工工资表!G$2,INDEX(员工工资表!$A:$M,(ROW()+4)/3+1,COLUMN())))</f>
        <v>车费补助</v>
      </c>
      <c r="H28" t="str">
        <f>IF(MOD(ROW(),3)=0,"",IF(MOD(ROW(),3)=1,
员工工资表!H$2,INDEX(员工工资表!$A:$M,(ROW()+4)/3+1,COLUMN())))</f>
        <v>保险金</v>
      </c>
      <c r="I28" t="str">
        <f>IF(MOD(ROW(),3)=0,"",IF(MOD(ROW(),3)=1,
员工工资表!I$2,INDEX(员工工资表!$A:$M,(ROW()+4)/3+1,COLUMN())))</f>
        <v>请假扣款</v>
      </c>
      <c r="J28" t="str">
        <f>IF(MOD(ROW(),3)=0,"",IF(MOD(ROW(),3)=1,
员工工资表!J$2,INDEX(员工工资表!$A:$M,(ROW()+4)/3+1,COLUMN())))</f>
        <v>应发金额</v>
      </c>
      <c r="K28" t="str">
        <f>IF(MOD(ROW(),3)=0,"",IF(MOD(ROW(),3)=1,
员工工资表!K$2,INDEX(员工工资表!$A:$M,(ROW()+4)/3+1,COLUMN())))</f>
        <v>扣税所得额</v>
      </c>
      <c r="L28" t="str">
        <f>IF(MOD(ROW(),3)=0,"",IF(MOD(ROW(),3)=1,
员工工资表!L$2,INDEX(员工工资表!$A:$M,(ROW()+4)/3+1,COLUMN())))</f>
        <v>个人所得税</v>
      </c>
      <c r="M28" t="str">
        <f>IF(MOD(ROW(),3)=0,"",IF(MOD(ROW(),3)=1,
员工工资表!M$2,INDEX(员工工资表!$A:$M,(ROW()+4)/3+1,COLUMN())))</f>
        <v>实发金额</v>
      </c>
    </row>
    <row r="29" spans="1:14">
      <c r="A29">
        <f>IF(MOD(ROW(),3)=0,"",IF(MOD(ROW(),3)=1,
员工工资表!A$2,INDEX(员工工资表!$A:$M,(ROW()+4)/3+1,COLUMN())))</f>
        <v>1010</v>
      </c>
      <c r="B29">
        <f>IF(MOD(ROW(),3)=0,"",IF(MOD(ROW(),3)=1,
员工工资表!B$2,INDEX(员工工资表!$A:$M,(ROW()+4)/3+1,COLUMN())))</f>
        <v>0</v>
      </c>
      <c r="C29">
        <f>IF(MOD(ROW(),3)=0,"",IF(MOD(ROW(),3)=1,
员工工资表!C$2,INDEX(员工工资表!$A:$M,(ROW()+4)/3+1,COLUMN())))</f>
        <v>0</v>
      </c>
      <c r="D29" s="45">
        <f>IF(MOD(ROW(),3)=0,"",IF(MOD(ROW(),3)=1,
员工工资表!D$2,INDEX(员工工资表!$A:$M,(ROW()+4)/3+1,COLUMN())))</f>
        <v>0</v>
      </c>
      <c r="E29" s="45">
        <f>IF(MOD(ROW(),3)=0,"",IF(MOD(ROW(),3)=1,
员工工资表!E$2,INDEX(员工工资表!$A:$M,(ROW()+4)/3+1,COLUMN())))</f>
        <v>0</v>
      </c>
      <c r="F29" s="45">
        <f>IF(MOD(ROW(),3)=0,"",IF(MOD(ROW(),3)=1,
员工工资表!F$2,INDEX(员工工资表!$A:$M,(ROW()+4)/3+1,COLUMN())))</f>
        <v>0</v>
      </c>
      <c r="G29" s="45">
        <f>IF(MOD(ROW(),3)=0,"",IF(MOD(ROW(),3)=1,
员工工资表!G$2,INDEX(员工工资表!$A:$M,(ROW()+4)/3+1,COLUMN())))</f>
        <v>0</v>
      </c>
      <c r="H29" s="45">
        <f>IF(MOD(ROW(),3)=0,"",IF(MOD(ROW(),3)=1,
员工工资表!H$2,INDEX(员工工资表!$A:$M,(ROW()+4)/3+1,COLUMN())))</f>
        <v>0</v>
      </c>
      <c r="I29" s="45">
        <f>IF(MOD(ROW(),3)=0,"",IF(MOD(ROW(),3)=1,
员工工资表!I$2,INDEX(员工工资表!$A:$M,(ROW()+4)/3+1,COLUMN())))</f>
        <v>0</v>
      </c>
      <c r="J29" s="45">
        <f>IF(MOD(ROW(),3)=0,"",IF(MOD(ROW(),3)=1,
员工工资表!J$2,INDEX(员工工资表!$A:$M,(ROW()+4)/3+1,COLUMN())))</f>
        <v>0</v>
      </c>
      <c r="K29" s="45">
        <f>IF(MOD(ROW(),3)=0,"",IF(MOD(ROW(),3)=1,
员工工资表!K$2,INDEX(员工工资表!$A:$M,(ROW()+4)/3+1,COLUMN())))</f>
        <v>0</v>
      </c>
      <c r="L29" s="45">
        <f>IF(MOD(ROW(),3)=0,"",IF(MOD(ROW(),3)=1,
员工工资表!L$2,INDEX(员工工资表!$A:$M,(ROW()+4)/3+1,COLUMN())))</f>
        <v>0</v>
      </c>
      <c r="M29" s="45">
        <f>IF(MOD(ROW(),3)=0,"",IF(MOD(ROW(),3)=1,
员工工资表!M$2,INDEX(员工工资表!$A:$M,(ROW()+4)/3+1,COLUMN())))</f>
        <v>0</v>
      </c>
      <c r="N29" s="45"/>
    </row>
    <row r="30" spans="1:14">
      <c r="A30" t="str">
        <f>IF(MOD(ROW(),3)=0,"",IF(MOD(ROW(),3)=1,
员工工资表!A$2,INDEX(员工工资表!$A:$M,(ROW()+4)/3+1,COLUMN())))</f>
        <v/>
      </c>
      <c r="B30" t="str">
        <f>IF(MOD(ROW(),3)=0,"",IF(MOD(ROW(),3)=1,
员工工资表!B$2,INDEX(员工工资表!$A:$M,(ROW()+4)/3+1,COLUMN())))</f>
        <v/>
      </c>
      <c r="C30" t="str">
        <f>IF(MOD(ROW(),3)=0,"",IF(MOD(ROW(),3)=1,
员工工资表!C$2,INDEX(员工工资表!$A:$M,(ROW()+4)/3+1,COLUMN())))</f>
        <v/>
      </c>
      <c r="D30" t="str">
        <f>IF(MOD(ROW(),3)=0,"",IF(MOD(ROW(),3)=1,
员工工资表!D$2,INDEX(员工工资表!$A:$M,(ROW()+4)/3+1,COLUMN())))</f>
        <v/>
      </c>
      <c r="E30" t="str">
        <f>IF(MOD(ROW(),3)=0,"",IF(MOD(ROW(),3)=1,
员工工资表!E$2,INDEX(员工工资表!$A:$M,(ROW()+4)/3+1,COLUMN())))</f>
        <v/>
      </c>
      <c r="F30" t="str">
        <f>IF(MOD(ROW(),3)=0,"",IF(MOD(ROW(),3)=1,
员工工资表!F$2,INDEX(员工工资表!$A:$M,(ROW()+4)/3+1,COLUMN())))</f>
        <v/>
      </c>
      <c r="G30" t="str">
        <f>IF(MOD(ROW(),3)=0,"",IF(MOD(ROW(),3)=1,
员工工资表!G$2,INDEX(员工工资表!$A:$M,(ROW()+4)/3+1,COLUMN())))</f>
        <v/>
      </c>
      <c r="H30" t="str">
        <f>IF(MOD(ROW(),3)=0,"",IF(MOD(ROW(),3)=1,
员工工资表!H$2,INDEX(员工工资表!$A:$M,(ROW()+4)/3+1,COLUMN())))</f>
        <v/>
      </c>
      <c r="I30" t="str">
        <f>IF(MOD(ROW(),3)=0,"",IF(MOD(ROW(),3)=1,
员工工资表!I$2,INDEX(员工工资表!$A:$M,(ROW()+4)/3+1,COLUMN())))</f>
        <v/>
      </c>
      <c r="J30" t="str">
        <f>IF(MOD(ROW(),3)=0,"",IF(MOD(ROW(),3)=1,
员工工资表!J$2,INDEX(员工工资表!$A:$M,(ROW()+4)/3+1,COLUMN())))</f>
        <v/>
      </c>
      <c r="K30" t="str">
        <f>IF(MOD(ROW(),3)=0,"",IF(MOD(ROW(),3)=1,
员工工资表!K$2,INDEX(员工工资表!$A:$M,(ROW()+4)/3+1,COLUMN())))</f>
        <v/>
      </c>
      <c r="L30" t="str">
        <f>IF(MOD(ROW(),3)=0,"",IF(MOD(ROW(),3)=1,
员工工资表!L$2,INDEX(员工工资表!$A:$M,(ROW()+4)/3+1,COLUMN())))</f>
        <v/>
      </c>
      <c r="M30" t="str">
        <f>IF(MOD(ROW(),3)=0,"",IF(MOD(ROW(),3)=1,
员工工资表!M$2,INDEX(员工工资表!$A:$M,(ROW()+4)/3+1,COLUMN())))</f>
        <v/>
      </c>
    </row>
    <row r="31" spans="1:14">
      <c r="A31" t="str">
        <f>IF(MOD(ROW(),3)=0,"",IF(MOD(ROW(),3)=1,
员工工资表!A$2,INDEX(员工工资表!$A:$M,(ROW()+4)/3+1,COLUMN())))</f>
        <v>员工编号</v>
      </c>
      <c r="B31" t="str">
        <f>IF(MOD(ROW(),3)=0,"",IF(MOD(ROW(),3)=1,
员工工资表!B$2,INDEX(员工工资表!$A:$M,(ROW()+4)/3+1,COLUMN())))</f>
        <v>员工姓名</v>
      </c>
      <c r="C31" t="str">
        <f>IF(MOD(ROW(),3)=0,"",IF(MOD(ROW(),3)=1,
员工工资表!C$2,INDEX(员工工资表!$A:$M,(ROW()+4)/3+1,COLUMN())))</f>
        <v>所在部门</v>
      </c>
      <c r="D31" t="str">
        <f>IF(MOD(ROW(),3)=0,"",IF(MOD(ROW(),3)=1,
员工工资表!D$2,INDEX(员工工资表!$A:$M,(ROW()+4)/3+1,COLUMN())))</f>
        <v>基本工资</v>
      </c>
      <c r="E31" t="str">
        <f>IF(MOD(ROW(),3)=0,"",IF(MOD(ROW(),3)=1,
员工工资表!E$2,INDEX(员工工资表!$A:$M,(ROW()+4)/3+1,COLUMN())))</f>
        <v>奖金</v>
      </c>
      <c r="F31" t="str">
        <f>IF(MOD(ROW(),3)=0,"",IF(MOD(ROW(),3)=1,
员工工资表!F$2,INDEX(员工工资表!$A:$M,(ROW()+4)/3+1,COLUMN())))</f>
        <v>住房补助</v>
      </c>
      <c r="G31" t="str">
        <f>IF(MOD(ROW(),3)=0,"",IF(MOD(ROW(),3)=1,
员工工资表!G$2,INDEX(员工工资表!$A:$M,(ROW()+4)/3+1,COLUMN())))</f>
        <v>车费补助</v>
      </c>
      <c r="H31" t="str">
        <f>IF(MOD(ROW(),3)=0,"",IF(MOD(ROW(),3)=1,
员工工资表!H$2,INDEX(员工工资表!$A:$M,(ROW()+4)/3+1,COLUMN())))</f>
        <v>保险金</v>
      </c>
      <c r="I31" t="str">
        <f>IF(MOD(ROW(),3)=0,"",IF(MOD(ROW(),3)=1,
员工工资表!I$2,INDEX(员工工资表!$A:$M,(ROW()+4)/3+1,COLUMN())))</f>
        <v>请假扣款</v>
      </c>
      <c r="J31" t="str">
        <f>IF(MOD(ROW(),3)=0,"",IF(MOD(ROW(),3)=1,
员工工资表!J$2,INDEX(员工工资表!$A:$M,(ROW()+4)/3+1,COLUMN())))</f>
        <v>应发金额</v>
      </c>
      <c r="K31" t="str">
        <f>IF(MOD(ROW(),3)=0,"",IF(MOD(ROW(),3)=1,
员工工资表!K$2,INDEX(员工工资表!$A:$M,(ROW()+4)/3+1,COLUMN())))</f>
        <v>扣税所得额</v>
      </c>
      <c r="L31" t="str">
        <f>IF(MOD(ROW(),3)=0,"",IF(MOD(ROW(),3)=1,
员工工资表!L$2,INDEX(员工工资表!$A:$M,(ROW()+4)/3+1,COLUMN())))</f>
        <v>个人所得税</v>
      </c>
      <c r="M31" t="str">
        <f>IF(MOD(ROW(),3)=0,"",IF(MOD(ROW(),3)=1,
员工工资表!M$2,INDEX(员工工资表!$A:$M,(ROW()+4)/3+1,COLUMN())))</f>
        <v>实发金额</v>
      </c>
    </row>
    <row r="32" spans="1:14">
      <c r="A32">
        <f>IF(MOD(ROW(),3)=0,"",IF(MOD(ROW(),3)=1,
员工工资表!A$2,INDEX(员工工资表!$A:$M,(ROW()+4)/3+1,COLUMN())))</f>
        <v>1011</v>
      </c>
      <c r="B32">
        <f>IF(MOD(ROW(),3)=0,"",IF(MOD(ROW(),3)=1,
员工工资表!B$2,INDEX(员工工资表!$A:$M,(ROW()+4)/3+1,COLUMN())))</f>
        <v>0</v>
      </c>
      <c r="C32">
        <f>IF(MOD(ROW(),3)=0,"",IF(MOD(ROW(),3)=1,
员工工资表!C$2,INDEX(员工工资表!$A:$M,(ROW()+4)/3+1,COLUMN())))</f>
        <v>0</v>
      </c>
      <c r="D32" s="45">
        <f>IF(MOD(ROW(),3)=0,"",IF(MOD(ROW(),3)=1,
员工工资表!D$2,INDEX(员工工资表!$A:$M,(ROW()+4)/3+1,COLUMN())))</f>
        <v>0</v>
      </c>
      <c r="E32" s="45">
        <f>IF(MOD(ROW(),3)=0,"",IF(MOD(ROW(),3)=1,
员工工资表!E$2,INDEX(员工工资表!$A:$M,(ROW()+4)/3+1,COLUMN())))</f>
        <v>0</v>
      </c>
      <c r="F32" s="45">
        <f>IF(MOD(ROW(),3)=0,"",IF(MOD(ROW(),3)=1,
员工工资表!F$2,INDEX(员工工资表!$A:$M,(ROW()+4)/3+1,COLUMN())))</f>
        <v>0</v>
      </c>
      <c r="G32" s="45">
        <f>IF(MOD(ROW(),3)=0,"",IF(MOD(ROW(),3)=1,
员工工资表!G$2,INDEX(员工工资表!$A:$M,(ROW()+4)/3+1,COLUMN())))</f>
        <v>0</v>
      </c>
      <c r="H32" s="45">
        <f>IF(MOD(ROW(),3)=0,"",IF(MOD(ROW(),3)=1,
员工工资表!H$2,INDEX(员工工资表!$A:$M,(ROW()+4)/3+1,COLUMN())))</f>
        <v>0</v>
      </c>
      <c r="I32" s="45">
        <f>IF(MOD(ROW(),3)=0,"",IF(MOD(ROW(),3)=1,
员工工资表!I$2,INDEX(员工工资表!$A:$M,(ROW()+4)/3+1,COLUMN())))</f>
        <v>0</v>
      </c>
      <c r="J32" s="45">
        <f>IF(MOD(ROW(),3)=0,"",IF(MOD(ROW(),3)=1,
员工工资表!J$2,INDEX(员工工资表!$A:$M,(ROW()+4)/3+1,COLUMN())))</f>
        <v>0</v>
      </c>
      <c r="K32" s="45">
        <f>IF(MOD(ROW(),3)=0,"",IF(MOD(ROW(),3)=1,
员工工资表!K$2,INDEX(员工工资表!$A:$M,(ROW()+4)/3+1,COLUMN())))</f>
        <v>0</v>
      </c>
      <c r="L32" s="45">
        <f>IF(MOD(ROW(),3)=0,"",IF(MOD(ROW(),3)=1,
员工工资表!L$2,INDEX(员工工资表!$A:$M,(ROW()+4)/3+1,COLUMN())))</f>
        <v>0</v>
      </c>
      <c r="M32">
        <f>IF(MOD(ROW(),3)=0,"",IF(MOD(ROW(),3)=1,
员工工资表!M$2,INDEX(员工工资表!$A:$M,(ROW()+4)/3+1,COLUMN())))</f>
        <v>0</v>
      </c>
    </row>
    <row r="33" spans="1:13">
      <c r="A33" t="str">
        <f>IF(MOD(ROW(),3)=0,"",IF(MOD(ROW(),3)=1,
员工工资表!A$2,INDEX(员工工资表!$A:$M,(ROW()+4)/3+1,COLUMN())))</f>
        <v/>
      </c>
      <c r="B33" t="str">
        <f>IF(MOD(ROW(),3)=0,"",IF(MOD(ROW(),3)=1,
员工工资表!B$2,INDEX(员工工资表!$A:$M,(ROW()+4)/3+1,COLUMN())))</f>
        <v/>
      </c>
      <c r="C33" t="str">
        <f>IF(MOD(ROW(),3)=0,"",IF(MOD(ROW(),3)=1,
员工工资表!C$2,INDEX(员工工资表!$A:$M,(ROW()+4)/3+1,COLUMN())))</f>
        <v/>
      </c>
      <c r="D33" t="str">
        <f>IF(MOD(ROW(),3)=0,"",IF(MOD(ROW(),3)=1,
员工工资表!D$2,INDEX(员工工资表!$A:$M,(ROW()+4)/3+1,COLUMN())))</f>
        <v/>
      </c>
      <c r="E33" t="str">
        <f>IF(MOD(ROW(),3)=0,"",IF(MOD(ROW(),3)=1,
员工工资表!E$2,INDEX(员工工资表!$A:$M,(ROW()+4)/3+1,COLUMN())))</f>
        <v/>
      </c>
      <c r="F33" t="str">
        <f>IF(MOD(ROW(),3)=0,"",IF(MOD(ROW(),3)=1,
员工工资表!F$2,INDEX(员工工资表!$A:$M,(ROW()+4)/3+1,COLUMN())))</f>
        <v/>
      </c>
      <c r="G33" t="str">
        <f>IF(MOD(ROW(),3)=0,"",IF(MOD(ROW(),3)=1,
员工工资表!G$2,INDEX(员工工资表!$A:$M,(ROW()+4)/3+1,COLUMN())))</f>
        <v/>
      </c>
      <c r="H33" t="str">
        <f>IF(MOD(ROW(),3)=0,"",IF(MOD(ROW(),3)=1,
员工工资表!H$2,INDEX(员工工资表!$A:$M,(ROW()+4)/3+1,COLUMN())))</f>
        <v/>
      </c>
      <c r="I33" t="str">
        <f>IF(MOD(ROW(),3)=0,"",IF(MOD(ROW(),3)=1,
员工工资表!I$2,INDEX(员工工资表!$A:$M,(ROW()+4)/3+1,COLUMN())))</f>
        <v/>
      </c>
      <c r="J33" t="str">
        <f>IF(MOD(ROW(),3)=0,"",IF(MOD(ROW(),3)=1,
员工工资表!J$2,INDEX(员工工资表!$A:$M,(ROW()+4)/3+1,COLUMN())))</f>
        <v/>
      </c>
      <c r="K33" t="str">
        <f>IF(MOD(ROW(),3)=0,"",IF(MOD(ROW(),3)=1,
员工工资表!K$2,INDEX(员工工资表!$A:$M,(ROW()+4)/3+1,COLUMN())))</f>
        <v/>
      </c>
      <c r="L33" t="str">
        <f>IF(MOD(ROW(),3)=0,"",IF(MOD(ROW(),3)=1,
员工工资表!L$2,INDEX(员工工资表!$A:$M,(ROW()+4)/3+1,COLUMN())))</f>
        <v/>
      </c>
      <c r="M33" t="str">
        <f>IF(MOD(ROW(),3)=0,"",IF(MOD(ROW(),3)=1,
员工工资表!M$2,INDEX(员工工资表!$A:$M,(ROW()+4)/3+1,COLUMN())))</f>
        <v/>
      </c>
    </row>
    <row r="34" spans="1:13">
      <c r="A34" t="str">
        <f>IF(MOD(ROW(),3)=0,"",IF(MOD(ROW(),3)=1,
员工工资表!A$2,INDEX(员工工资表!$A:$M,(ROW()+4)/3+1,COLUMN())))</f>
        <v>员工编号</v>
      </c>
      <c r="B34" t="str">
        <f>IF(MOD(ROW(),3)=0,"",IF(MOD(ROW(),3)=1,
员工工资表!B$2,INDEX(员工工资表!$A:$M,(ROW()+4)/3+1,COLUMN())))</f>
        <v>员工姓名</v>
      </c>
      <c r="C34" t="str">
        <f>IF(MOD(ROW(),3)=0,"",IF(MOD(ROW(),3)=1,
员工工资表!C$2,INDEX(员工工资表!$A:$M,(ROW()+4)/3+1,COLUMN())))</f>
        <v>所在部门</v>
      </c>
      <c r="D34" t="str">
        <f>IF(MOD(ROW(),3)=0,"",IF(MOD(ROW(),3)=1,
员工工资表!D$2,INDEX(员工工资表!$A:$M,(ROW()+4)/3+1,COLUMN())))</f>
        <v>基本工资</v>
      </c>
      <c r="E34" t="str">
        <f>IF(MOD(ROW(),3)=0,"",IF(MOD(ROW(),3)=1,
员工工资表!E$2,INDEX(员工工资表!$A:$M,(ROW()+4)/3+1,COLUMN())))</f>
        <v>奖金</v>
      </c>
      <c r="F34" t="str">
        <f>IF(MOD(ROW(),3)=0,"",IF(MOD(ROW(),3)=1,
员工工资表!F$2,INDEX(员工工资表!$A:$M,(ROW()+4)/3+1,COLUMN())))</f>
        <v>住房补助</v>
      </c>
      <c r="G34" t="str">
        <f>IF(MOD(ROW(),3)=0,"",IF(MOD(ROW(),3)=1,
员工工资表!G$2,INDEX(员工工资表!$A:$M,(ROW()+4)/3+1,COLUMN())))</f>
        <v>车费补助</v>
      </c>
      <c r="H34" t="str">
        <f>IF(MOD(ROW(),3)=0,"",IF(MOD(ROW(),3)=1,
员工工资表!H$2,INDEX(员工工资表!$A:$M,(ROW()+4)/3+1,COLUMN())))</f>
        <v>保险金</v>
      </c>
      <c r="I34" t="str">
        <f>IF(MOD(ROW(),3)=0,"",IF(MOD(ROW(),3)=1,
员工工资表!I$2,INDEX(员工工资表!$A:$M,(ROW()+4)/3+1,COLUMN())))</f>
        <v>请假扣款</v>
      </c>
      <c r="J34" t="str">
        <f>IF(MOD(ROW(),3)=0,"",IF(MOD(ROW(),3)=1,
员工工资表!J$2,INDEX(员工工资表!$A:$M,(ROW()+4)/3+1,COLUMN())))</f>
        <v>应发金额</v>
      </c>
      <c r="K34" t="str">
        <f>IF(MOD(ROW(),3)=0,"",IF(MOD(ROW(),3)=1,
员工工资表!K$2,INDEX(员工工资表!$A:$M,(ROW()+4)/3+1,COLUMN())))</f>
        <v>扣税所得额</v>
      </c>
      <c r="L34" t="str">
        <f>IF(MOD(ROW(),3)=0,"",IF(MOD(ROW(),3)=1,
员工工资表!L$2,INDEX(员工工资表!$A:$M,(ROW()+4)/3+1,COLUMN())))</f>
        <v>个人所得税</v>
      </c>
      <c r="M34" t="str">
        <f>IF(MOD(ROW(),3)=0,"",IF(MOD(ROW(),3)=1,
员工工资表!M$2,INDEX(员工工资表!$A:$M,(ROW()+4)/3+1,COLUMN())))</f>
        <v>实发金额</v>
      </c>
    </row>
    <row r="35" spans="1:13">
      <c r="A35">
        <f>IF(MOD(ROW(),3)=0,"",IF(MOD(ROW(),3)=1,
员工工资表!A$2,INDEX(员工工资表!$A:$M,(ROW()+4)/3+1,COLUMN())))</f>
        <v>1012</v>
      </c>
      <c r="B35">
        <f>IF(MOD(ROW(),3)=0,"",IF(MOD(ROW(),3)=1,
员工工资表!B$2,INDEX(员工工资表!$A:$M,(ROW()+4)/3+1,COLUMN())))</f>
        <v>0</v>
      </c>
      <c r="C35">
        <f>IF(MOD(ROW(),3)=0,"",IF(MOD(ROW(),3)=1,
员工工资表!C$2,INDEX(员工工资表!$A:$M,(ROW()+4)/3+1,COLUMN())))</f>
        <v>0</v>
      </c>
      <c r="D35" s="45">
        <f>IF(MOD(ROW(),3)=0,"",IF(MOD(ROW(),3)=1,
员工工资表!D$2,INDEX(员工工资表!$A:$M,(ROW()+4)/3+1,COLUMN())))</f>
        <v>0</v>
      </c>
      <c r="E35" s="45">
        <f>IF(MOD(ROW(),3)=0,"",IF(MOD(ROW(),3)=1,
员工工资表!E$2,INDEX(员工工资表!$A:$M,(ROW()+4)/3+1,COLUMN())))</f>
        <v>0</v>
      </c>
      <c r="F35" s="45">
        <f>IF(MOD(ROW(),3)=0,"",IF(MOD(ROW(),3)=1,
员工工资表!F$2,INDEX(员工工资表!$A:$M,(ROW()+4)/3+1,COLUMN())))</f>
        <v>0</v>
      </c>
      <c r="G35" s="45">
        <f>IF(MOD(ROW(),3)=0,"",IF(MOD(ROW(),3)=1,
员工工资表!G$2,INDEX(员工工资表!$A:$M,(ROW()+4)/3+1,COLUMN())))</f>
        <v>0</v>
      </c>
      <c r="H35" s="45">
        <f>IF(MOD(ROW(),3)=0,"",IF(MOD(ROW(),3)=1,
员工工资表!H$2,INDEX(员工工资表!$A:$M,(ROW()+4)/3+1,COLUMN())))</f>
        <v>0</v>
      </c>
      <c r="I35" s="45">
        <f>IF(MOD(ROW(),3)=0,"",IF(MOD(ROW(),3)=1,
员工工资表!I$2,INDEX(员工工资表!$A:$M,(ROW()+4)/3+1,COLUMN())))</f>
        <v>0</v>
      </c>
      <c r="J35" s="45">
        <f>IF(MOD(ROW(),3)=0,"",IF(MOD(ROW(),3)=1,
员工工资表!J$2,INDEX(员工工资表!$A:$M,(ROW()+4)/3+1,COLUMN())))</f>
        <v>0</v>
      </c>
      <c r="K35" s="45">
        <f>IF(MOD(ROW(),3)=0,"",IF(MOD(ROW(),3)=1,
员工工资表!K$2,INDEX(员工工资表!$A:$M,(ROW()+4)/3+1,COLUMN())))</f>
        <v>0</v>
      </c>
      <c r="L35" s="45">
        <f>IF(MOD(ROW(),3)=0,"",IF(MOD(ROW(),3)=1,
员工工资表!L$2,INDEX(员工工资表!$A:$M,(ROW()+4)/3+1,COLUMN())))</f>
        <v>0</v>
      </c>
      <c r="M35">
        <f>IF(MOD(ROW(),3)=0,"",IF(MOD(ROW(),3)=1,
员工工资表!M$2,INDEX(员工工资表!$A:$M,(ROW()+4)/3+1,COLUMN())))</f>
        <v>0</v>
      </c>
    </row>
    <row r="36" spans="1:13">
      <c r="A36" t="str">
        <f>IF(MOD(ROW(),3)=0,"",IF(MOD(ROW(),3)=1,
员工工资表!A$2,INDEX(员工工资表!$A:$M,(ROW()+4)/3+1,COLUMN())))</f>
        <v/>
      </c>
      <c r="B36" t="str">
        <f>IF(MOD(ROW(),3)=0,"",IF(MOD(ROW(),3)=1,
员工工资表!B$2,INDEX(员工工资表!$A:$M,(ROW()+4)/3+1,COLUMN())))</f>
        <v/>
      </c>
      <c r="C36" t="str">
        <f>IF(MOD(ROW(),3)=0,"",IF(MOD(ROW(),3)=1,
员工工资表!C$2,INDEX(员工工资表!$A:$M,(ROW()+4)/3+1,COLUMN())))</f>
        <v/>
      </c>
      <c r="D36" t="str">
        <f>IF(MOD(ROW(),3)=0,"",IF(MOD(ROW(),3)=1,
员工工资表!D$2,INDEX(员工工资表!$A:$M,(ROW()+4)/3+1,COLUMN())))</f>
        <v/>
      </c>
      <c r="E36" t="str">
        <f>IF(MOD(ROW(),3)=0,"",IF(MOD(ROW(),3)=1,
员工工资表!E$2,INDEX(员工工资表!$A:$M,(ROW()+4)/3+1,COLUMN())))</f>
        <v/>
      </c>
      <c r="F36" t="str">
        <f>IF(MOD(ROW(),3)=0,"",IF(MOD(ROW(),3)=1,
员工工资表!F$2,INDEX(员工工资表!$A:$M,(ROW()+4)/3+1,COLUMN())))</f>
        <v/>
      </c>
      <c r="G36" t="str">
        <f>IF(MOD(ROW(),3)=0,"",IF(MOD(ROW(),3)=1,
员工工资表!G$2,INDEX(员工工资表!$A:$M,(ROW()+4)/3+1,COLUMN())))</f>
        <v/>
      </c>
      <c r="H36" t="str">
        <f>IF(MOD(ROW(),3)=0,"",IF(MOD(ROW(),3)=1,
员工工资表!H$2,INDEX(员工工资表!$A:$M,(ROW()+4)/3+1,COLUMN())))</f>
        <v/>
      </c>
      <c r="I36" t="str">
        <f>IF(MOD(ROW(),3)=0,"",IF(MOD(ROW(),3)=1,
员工工资表!I$2,INDEX(员工工资表!$A:$M,(ROW()+4)/3+1,COLUMN())))</f>
        <v/>
      </c>
      <c r="J36" t="str">
        <f>IF(MOD(ROW(),3)=0,"",IF(MOD(ROW(),3)=1,
员工工资表!J$2,INDEX(员工工资表!$A:$M,(ROW()+4)/3+1,COLUMN())))</f>
        <v/>
      </c>
      <c r="K36" t="str">
        <f>IF(MOD(ROW(),3)=0,"",IF(MOD(ROW(),3)=1,
员工工资表!K$2,INDEX(员工工资表!$A:$M,(ROW()+4)/3+1,COLUMN())))</f>
        <v/>
      </c>
      <c r="L36" t="str">
        <f>IF(MOD(ROW(),3)=0,"",IF(MOD(ROW(),3)=1,
员工工资表!L$2,INDEX(员工工资表!$A:$M,(ROW()+4)/3+1,COLUMN())))</f>
        <v/>
      </c>
      <c r="M36" t="str">
        <f>IF(MOD(ROW(),3)=0,"",IF(MOD(ROW(),3)=1,
员工工资表!M$2,INDEX(员工工资表!$A:$M,(ROW()+4)/3+1,COLUMN())))</f>
        <v/>
      </c>
    </row>
    <row r="37" spans="1:13">
      <c r="A37" t="str">
        <f>IF(MOD(ROW(),3)=0,"",IF(MOD(ROW(),3)=1,
员工工资表!A$2,INDEX(员工工资表!$A:$M,(ROW()+4)/3+1,COLUMN())))</f>
        <v>员工编号</v>
      </c>
      <c r="B37" t="str">
        <f>IF(MOD(ROW(),3)=0,"",IF(MOD(ROW(),3)=1,
员工工资表!B$2,INDEX(员工工资表!$A:$M,(ROW()+4)/3+1,COLUMN())))</f>
        <v>员工姓名</v>
      </c>
      <c r="C37" t="str">
        <f>IF(MOD(ROW(),3)=0,"",IF(MOD(ROW(),3)=1,
员工工资表!C$2,INDEX(员工工资表!$A:$M,(ROW()+4)/3+1,COLUMN())))</f>
        <v>所在部门</v>
      </c>
      <c r="D37" t="str">
        <f>IF(MOD(ROW(),3)=0,"",IF(MOD(ROW(),3)=1,
员工工资表!D$2,INDEX(员工工资表!$A:$M,(ROW()+4)/3+1,COLUMN())))</f>
        <v>基本工资</v>
      </c>
      <c r="E37" t="str">
        <f>IF(MOD(ROW(),3)=0,"",IF(MOD(ROW(),3)=1,
员工工资表!E$2,INDEX(员工工资表!$A:$M,(ROW()+4)/3+1,COLUMN())))</f>
        <v>奖金</v>
      </c>
      <c r="F37" t="str">
        <f>IF(MOD(ROW(),3)=0,"",IF(MOD(ROW(),3)=1,
员工工资表!F$2,INDEX(员工工资表!$A:$M,(ROW()+4)/3+1,COLUMN())))</f>
        <v>住房补助</v>
      </c>
      <c r="G37" t="str">
        <f>IF(MOD(ROW(),3)=0,"",IF(MOD(ROW(),3)=1,
员工工资表!G$2,INDEX(员工工资表!$A:$M,(ROW()+4)/3+1,COLUMN())))</f>
        <v>车费补助</v>
      </c>
      <c r="H37" t="str">
        <f>IF(MOD(ROW(),3)=0,"",IF(MOD(ROW(),3)=1,
员工工资表!H$2,INDEX(员工工资表!$A:$M,(ROW()+4)/3+1,COLUMN())))</f>
        <v>保险金</v>
      </c>
      <c r="I37" t="str">
        <f>IF(MOD(ROW(),3)=0,"",IF(MOD(ROW(),3)=1,
员工工资表!I$2,INDEX(员工工资表!$A:$M,(ROW()+4)/3+1,COLUMN())))</f>
        <v>请假扣款</v>
      </c>
      <c r="J37" t="str">
        <f>IF(MOD(ROW(),3)=0,"",IF(MOD(ROW(),3)=1,
员工工资表!J$2,INDEX(员工工资表!$A:$M,(ROW()+4)/3+1,COLUMN())))</f>
        <v>应发金额</v>
      </c>
      <c r="K37" t="str">
        <f>IF(MOD(ROW(),3)=0,"",IF(MOD(ROW(),3)=1,
员工工资表!K$2,INDEX(员工工资表!$A:$M,(ROW()+4)/3+1,COLUMN())))</f>
        <v>扣税所得额</v>
      </c>
      <c r="L37" t="str">
        <f>IF(MOD(ROW(),3)=0,"",IF(MOD(ROW(),3)=1,
员工工资表!L$2,INDEX(员工工资表!$A:$M,(ROW()+4)/3+1,COLUMN())))</f>
        <v>个人所得税</v>
      </c>
      <c r="M37" t="str">
        <f>IF(MOD(ROW(),3)=0,"",IF(MOD(ROW(),3)=1,
员工工资表!M$2,INDEX(员工工资表!$A:$M,(ROW()+4)/3+1,COLUMN())))</f>
        <v>实发金额</v>
      </c>
    </row>
    <row r="38" spans="1:13">
      <c r="A38">
        <f>IF(MOD(ROW(),3)=0,"",IF(MOD(ROW(),3)=1,
员工工资表!A$2,INDEX(员工工资表!$A:$M,(ROW()+4)/3+1,COLUMN())))</f>
        <v>1013</v>
      </c>
      <c r="B38">
        <f>IF(MOD(ROW(),3)=0,"",IF(MOD(ROW(),3)=1,
员工工资表!B$2,INDEX(员工工资表!$A:$M,(ROW()+4)/3+1,COLUMN())))</f>
        <v>0</v>
      </c>
      <c r="C38">
        <f>IF(MOD(ROW(),3)=0,"",IF(MOD(ROW(),3)=1,
员工工资表!C$2,INDEX(员工工资表!$A:$M,(ROW()+4)/3+1,COLUMN())))</f>
        <v>0</v>
      </c>
      <c r="D38" s="45">
        <f>IF(MOD(ROW(),3)=0,"",IF(MOD(ROW(),3)=1,
员工工资表!D$2,INDEX(员工工资表!$A:$M,(ROW()+4)/3+1,COLUMN())))</f>
        <v>0</v>
      </c>
      <c r="E38" s="45">
        <f>IF(MOD(ROW(),3)=0,"",IF(MOD(ROW(),3)=1,
员工工资表!E$2,INDEX(员工工资表!$A:$M,(ROW()+4)/3+1,COLUMN())))</f>
        <v>0</v>
      </c>
      <c r="F38" s="45">
        <f>IF(MOD(ROW(),3)=0,"",IF(MOD(ROW(),3)=1,
员工工资表!F$2,INDEX(员工工资表!$A:$M,(ROW()+4)/3+1,COLUMN())))</f>
        <v>0</v>
      </c>
      <c r="G38" s="45">
        <f>IF(MOD(ROW(),3)=0,"",IF(MOD(ROW(),3)=1,
员工工资表!G$2,INDEX(员工工资表!$A:$M,(ROW()+4)/3+1,COLUMN())))</f>
        <v>0</v>
      </c>
      <c r="H38" s="45">
        <f>IF(MOD(ROW(),3)=0,"",IF(MOD(ROW(),3)=1,
员工工资表!H$2,INDEX(员工工资表!$A:$M,(ROW()+4)/3+1,COLUMN())))</f>
        <v>0</v>
      </c>
      <c r="I38" s="45">
        <f>IF(MOD(ROW(),3)=0,"",IF(MOD(ROW(),3)=1,
员工工资表!I$2,INDEX(员工工资表!$A:$M,(ROW()+4)/3+1,COLUMN())))</f>
        <v>0</v>
      </c>
      <c r="J38" s="45">
        <f>IF(MOD(ROW(),3)=0,"",IF(MOD(ROW(),3)=1,
员工工资表!J$2,INDEX(员工工资表!$A:$M,(ROW()+4)/3+1,COLUMN())))</f>
        <v>0</v>
      </c>
      <c r="K38" s="45">
        <f>IF(MOD(ROW(),3)=0,"",IF(MOD(ROW(),3)=1,
员工工资表!K$2,INDEX(员工工资表!$A:$M,(ROW()+4)/3+1,COLUMN())))</f>
        <v>0</v>
      </c>
      <c r="L38" s="45">
        <f>IF(MOD(ROW(),3)=0,"",IF(MOD(ROW(),3)=1,
员工工资表!L$2,INDEX(员工工资表!$A:$M,(ROW()+4)/3+1,COLUMN())))</f>
        <v>0</v>
      </c>
      <c r="M38">
        <f>IF(MOD(ROW(),3)=0,"",IF(MOD(ROW(),3)=1,
员工工资表!M$2,INDEX(员工工资表!$A:$M,(ROW()+4)/3+1,COLUMN())))</f>
        <v>0</v>
      </c>
    </row>
    <row r="39" spans="1:13">
      <c r="A39" t="str">
        <f>IF(MOD(ROW(),3)=0,"",IF(MOD(ROW(),3)=1,
员工工资表!A$2,INDEX(员工工资表!$A:$M,(ROW()+4)/3+1,COLUMN())))</f>
        <v/>
      </c>
      <c r="B39" t="str">
        <f>IF(MOD(ROW(),3)=0,"",IF(MOD(ROW(),3)=1,
员工工资表!B$2,INDEX(员工工资表!$A:$M,(ROW()+4)/3+1,COLUMN())))</f>
        <v/>
      </c>
      <c r="C39" t="str">
        <f>IF(MOD(ROW(),3)=0,"",IF(MOD(ROW(),3)=1,
员工工资表!C$2,INDEX(员工工资表!$A:$M,(ROW()+4)/3+1,COLUMN())))</f>
        <v/>
      </c>
      <c r="D39" t="str">
        <f>IF(MOD(ROW(),3)=0,"",IF(MOD(ROW(),3)=1,
员工工资表!D$2,INDEX(员工工资表!$A:$M,(ROW()+4)/3+1,COLUMN())))</f>
        <v/>
      </c>
      <c r="E39" t="str">
        <f>IF(MOD(ROW(),3)=0,"",IF(MOD(ROW(),3)=1,
员工工资表!E$2,INDEX(员工工资表!$A:$M,(ROW()+4)/3+1,COLUMN())))</f>
        <v/>
      </c>
      <c r="F39" t="str">
        <f>IF(MOD(ROW(),3)=0,"",IF(MOD(ROW(),3)=1,
员工工资表!F$2,INDEX(员工工资表!$A:$M,(ROW()+4)/3+1,COLUMN())))</f>
        <v/>
      </c>
      <c r="G39" t="str">
        <f>IF(MOD(ROW(),3)=0,"",IF(MOD(ROW(),3)=1,
员工工资表!G$2,INDEX(员工工资表!$A:$M,(ROW()+4)/3+1,COLUMN())))</f>
        <v/>
      </c>
      <c r="H39" t="str">
        <f>IF(MOD(ROW(),3)=0,"",IF(MOD(ROW(),3)=1,
员工工资表!H$2,INDEX(员工工资表!$A:$M,(ROW()+4)/3+1,COLUMN())))</f>
        <v/>
      </c>
      <c r="I39" t="str">
        <f>IF(MOD(ROW(),3)=0,"",IF(MOD(ROW(),3)=1,
员工工资表!I$2,INDEX(员工工资表!$A:$M,(ROW()+4)/3+1,COLUMN())))</f>
        <v/>
      </c>
      <c r="J39" t="str">
        <f>IF(MOD(ROW(),3)=0,"",IF(MOD(ROW(),3)=1,
员工工资表!J$2,INDEX(员工工资表!$A:$M,(ROW()+4)/3+1,COLUMN())))</f>
        <v/>
      </c>
      <c r="K39" t="str">
        <f>IF(MOD(ROW(),3)=0,"",IF(MOD(ROW(),3)=1,
员工工资表!K$2,INDEX(员工工资表!$A:$M,(ROW()+4)/3+1,COLUMN())))</f>
        <v/>
      </c>
      <c r="L39" t="str">
        <f>IF(MOD(ROW(),3)=0,"",IF(MOD(ROW(),3)=1,
员工工资表!L$2,INDEX(员工工资表!$A:$M,(ROW()+4)/3+1,COLUMN())))</f>
        <v/>
      </c>
      <c r="M39" t="str">
        <f>IF(MOD(ROW(),3)=0,"",IF(MOD(ROW(),3)=1,
员工工资表!M$2,INDEX(员工工资表!$A:$M,(ROW()+4)/3+1,COLUMN())))</f>
        <v/>
      </c>
    </row>
    <row r="40" spans="1:13">
      <c r="A40" t="str">
        <f>IF(MOD(ROW(),3)=0,"",IF(MOD(ROW(),3)=1,
员工工资表!A$2,INDEX(员工工资表!$A:$M,(ROW()+4)/3+1,COLUMN())))</f>
        <v>员工编号</v>
      </c>
      <c r="B40" t="str">
        <f>IF(MOD(ROW(),3)=0,"",IF(MOD(ROW(),3)=1,
员工工资表!B$2,INDEX(员工工资表!$A:$M,(ROW()+4)/3+1,COLUMN())))</f>
        <v>员工姓名</v>
      </c>
      <c r="C40" t="str">
        <f>IF(MOD(ROW(),3)=0,"",IF(MOD(ROW(),3)=1,
员工工资表!C$2,INDEX(员工工资表!$A:$M,(ROW()+4)/3+1,COLUMN())))</f>
        <v>所在部门</v>
      </c>
      <c r="D40" t="str">
        <f>IF(MOD(ROW(),3)=0,"",IF(MOD(ROW(),3)=1,
员工工资表!D$2,INDEX(员工工资表!$A:$M,(ROW()+4)/3+1,COLUMN())))</f>
        <v>基本工资</v>
      </c>
      <c r="E40" t="str">
        <f>IF(MOD(ROW(),3)=0,"",IF(MOD(ROW(),3)=1,
员工工资表!E$2,INDEX(员工工资表!$A:$M,(ROW()+4)/3+1,COLUMN())))</f>
        <v>奖金</v>
      </c>
      <c r="F40" t="str">
        <f>IF(MOD(ROW(),3)=0,"",IF(MOD(ROW(),3)=1,
员工工资表!F$2,INDEX(员工工资表!$A:$M,(ROW()+4)/3+1,COLUMN())))</f>
        <v>住房补助</v>
      </c>
      <c r="G40" t="str">
        <f>IF(MOD(ROW(),3)=0,"",IF(MOD(ROW(),3)=1,
员工工资表!G$2,INDEX(员工工资表!$A:$M,(ROW()+4)/3+1,COLUMN())))</f>
        <v>车费补助</v>
      </c>
      <c r="H40" t="str">
        <f>IF(MOD(ROW(),3)=0,"",IF(MOD(ROW(),3)=1,
员工工资表!H$2,INDEX(员工工资表!$A:$M,(ROW()+4)/3+1,COLUMN())))</f>
        <v>保险金</v>
      </c>
      <c r="I40" t="str">
        <f>IF(MOD(ROW(),3)=0,"",IF(MOD(ROW(),3)=1,
员工工资表!I$2,INDEX(员工工资表!$A:$M,(ROW()+4)/3+1,COLUMN())))</f>
        <v>请假扣款</v>
      </c>
      <c r="J40" t="str">
        <f>IF(MOD(ROW(),3)=0,"",IF(MOD(ROW(),3)=1,
员工工资表!J$2,INDEX(员工工资表!$A:$M,(ROW()+4)/3+1,COLUMN())))</f>
        <v>应发金额</v>
      </c>
      <c r="K40" t="str">
        <f>IF(MOD(ROW(),3)=0,"",IF(MOD(ROW(),3)=1,
员工工资表!K$2,INDEX(员工工资表!$A:$M,(ROW()+4)/3+1,COLUMN())))</f>
        <v>扣税所得额</v>
      </c>
      <c r="L40" t="str">
        <f>IF(MOD(ROW(),3)=0,"",IF(MOD(ROW(),3)=1,
员工工资表!L$2,INDEX(员工工资表!$A:$M,(ROW()+4)/3+1,COLUMN())))</f>
        <v>个人所得税</v>
      </c>
      <c r="M40" t="str">
        <f>IF(MOD(ROW(),3)=0,"",IF(MOD(ROW(),3)=1,
员工工资表!M$2,INDEX(员工工资表!$A:$M,(ROW()+4)/3+1,COLUMN())))</f>
        <v>实发金额</v>
      </c>
    </row>
    <row r="41" spans="1:13">
      <c r="A41">
        <f>IF(MOD(ROW(),3)=0,"",IF(MOD(ROW(),3)=1,
员工工资表!A$2,INDEX(员工工资表!$A:$M,(ROW()+4)/3+1,COLUMN())))</f>
        <v>1014</v>
      </c>
      <c r="B41">
        <f>IF(MOD(ROW(),3)=0,"",IF(MOD(ROW(),3)=1,
员工工资表!B$2,INDEX(员工工资表!$A:$M,(ROW()+4)/3+1,COLUMN())))</f>
        <v>0</v>
      </c>
      <c r="C41">
        <f>IF(MOD(ROW(),3)=0,"",IF(MOD(ROW(),3)=1,
员工工资表!C$2,INDEX(员工工资表!$A:$M,(ROW()+4)/3+1,COLUMN())))</f>
        <v>0</v>
      </c>
      <c r="D41" s="45">
        <f>IF(MOD(ROW(),3)=0,"",IF(MOD(ROW(),3)=1,
员工工资表!D$2,INDEX(员工工资表!$A:$M,(ROW()+4)/3+1,COLUMN())))</f>
        <v>0</v>
      </c>
      <c r="E41" s="45">
        <f>IF(MOD(ROW(),3)=0,"",IF(MOD(ROW(),3)=1,
员工工资表!E$2,INDEX(员工工资表!$A:$M,(ROW()+4)/3+1,COLUMN())))</f>
        <v>0</v>
      </c>
      <c r="F41" s="45">
        <f>IF(MOD(ROW(),3)=0,"",IF(MOD(ROW(),3)=1,
员工工资表!F$2,INDEX(员工工资表!$A:$M,(ROW()+4)/3+1,COLUMN())))</f>
        <v>0</v>
      </c>
      <c r="G41" s="45">
        <f>IF(MOD(ROW(),3)=0,"",IF(MOD(ROW(),3)=1,
员工工资表!G$2,INDEX(员工工资表!$A:$M,(ROW()+4)/3+1,COLUMN())))</f>
        <v>0</v>
      </c>
      <c r="H41" s="45">
        <f>IF(MOD(ROW(),3)=0,"",IF(MOD(ROW(),3)=1,
员工工资表!H$2,INDEX(员工工资表!$A:$M,(ROW()+4)/3+1,COLUMN())))</f>
        <v>0</v>
      </c>
      <c r="I41" s="45">
        <f>IF(MOD(ROW(),3)=0,"",IF(MOD(ROW(),3)=1,
员工工资表!I$2,INDEX(员工工资表!$A:$M,(ROW()+4)/3+1,COLUMN())))</f>
        <v>0</v>
      </c>
      <c r="J41" s="45">
        <f>IF(MOD(ROW(),3)=0,"",IF(MOD(ROW(),3)=1,
员工工资表!J$2,INDEX(员工工资表!$A:$M,(ROW()+4)/3+1,COLUMN())))</f>
        <v>0</v>
      </c>
      <c r="K41" s="45">
        <f>IF(MOD(ROW(),3)=0,"",IF(MOD(ROW(),3)=1,
员工工资表!K$2,INDEX(员工工资表!$A:$M,(ROW()+4)/3+1,COLUMN())))</f>
        <v>0</v>
      </c>
      <c r="L41" s="45">
        <f>IF(MOD(ROW(),3)=0,"",IF(MOD(ROW(),3)=1,
员工工资表!L$2,INDEX(员工工资表!$A:$M,(ROW()+4)/3+1,COLUMN())))</f>
        <v>0</v>
      </c>
      <c r="M41">
        <f>IF(MOD(ROW(),3)=0,"",IF(MOD(ROW(),3)=1,
员工工资表!M$2,INDEX(员工工资表!$A:$M,(ROW()+4)/3+1,COLUMN())))</f>
        <v>0</v>
      </c>
    </row>
    <row r="42" spans="1:13">
      <c r="A42" t="str">
        <f>IF(MOD(ROW(),3)=0,"",IF(MOD(ROW(),3)=1,
员工工资表!A$2,INDEX(员工工资表!$A:$M,(ROW()+4)/3+1,COLUMN())))</f>
        <v/>
      </c>
      <c r="B42" t="str">
        <f>IF(MOD(ROW(),3)=0,"",IF(MOD(ROW(),3)=1,
员工工资表!B$2,INDEX(员工工资表!$A:$M,(ROW()+4)/3+1,COLUMN())))</f>
        <v/>
      </c>
      <c r="C42" t="str">
        <f>IF(MOD(ROW(),3)=0,"",IF(MOD(ROW(),3)=1,
员工工资表!C$2,INDEX(员工工资表!$A:$M,(ROW()+4)/3+1,COLUMN())))</f>
        <v/>
      </c>
      <c r="D42" t="str">
        <f>IF(MOD(ROW(),3)=0,"",IF(MOD(ROW(),3)=1,
员工工资表!D$2,INDEX(员工工资表!$A:$M,(ROW()+4)/3+1,COLUMN())))</f>
        <v/>
      </c>
      <c r="E42" t="str">
        <f>IF(MOD(ROW(),3)=0,"",IF(MOD(ROW(),3)=1,
员工工资表!E$2,INDEX(员工工资表!$A:$M,(ROW()+4)/3+1,COLUMN())))</f>
        <v/>
      </c>
      <c r="F42" t="str">
        <f>IF(MOD(ROW(),3)=0,"",IF(MOD(ROW(),3)=1,
员工工资表!F$2,INDEX(员工工资表!$A:$M,(ROW()+4)/3+1,COLUMN())))</f>
        <v/>
      </c>
      <c r="G42" t="str">
        <f>IF(MOD(ROW(),3)=0,"",IF(MOD(ROW(),3)=1,
员工工资表!G$2,INDEX(员工工资表!$A:$M,(ROW()+4)/3+1,COLUMN())))</f>
        <v/>
      </c>
      <c r="H42" t="str">
        <f>IF(MOD(ROW(),3)=0,"",IF(MOD(ROW(),3)=1,
员工工资表!H$2,INDEX(员工工资表!$A:$M,(ROW()+4)/3+1,COLUMN())))</f>
        <v/>
      </c>
      <c r="I42" t="str">
        <f>IF(MOD(ROW(),3)=0,"",IF(MOD(ROW(),3)=1,
员工工资表!I$2,INDEX(员工工资表!$A:$M,(ROW()+4)/3+1,COLUMN())))</f>
        <v/>
      </c>
      <c r="J42" t="str">
        <f>IF(MOD(ROW(),3)=0,"",IF(MOD(ROW(),3)=1,
员工工资表!J$2,INDEX(员工工资表!$A:$M,(ROW()+4)/3+1,COLUMN())))</f>
        <v/>
      </c>
      <c r="K42" t="str">
        <f>IF(MOD(ROW(),3)=0,"",IF(MOD(ROW(),3)=1,
员工工资表!K$2,INDEX(员工工资表!$A:$M,(ROW()+4)/3+1,COLUMN())))</f>
        <v/>
      </c>
      <c r="L42" t="str">
        <f>IF(MOD(ROW(),3)=0,"",IF(MOD(ROW(),3)=1,
员工工资表!L$2,INDEX(员工工资表!$A:$M,(ROW()+4)/3+1,COLUMN())))</f>
        <v/>
      </c>
      <c r="M42" t="str">
        <f>IF(MOD(ROW(),3)=0,"",IF(MOD(ROW(),3)=1,
员工工资表!M$2,INDEX(员工工资表!$A:$M,(ROW()+4)/3+1,COLUMN())))</f>
        <v/>
      </c>
    </row>
    <row r="43" spans="1:13">
      <c r="A43" t="str">
        <f>IF(MOD(ROW(),3)=0,"",IF(MOD(ROW(),3)=1,
员工工资表!A$2,INDEX(员工工资表!$A:$M,(ROW()+4)/3+1,COLUMN())))</f>
        <v>员工编号</v>
      </c>
      <c r="B43" t="str">
        <f>IF(MOD(ROW(),3)=0,"",IF(MOD(ROW(),3)=1,
员工工资表!B$2,INDEX(员工工资表!$A:$M,(ROW()+4)/3+1,COLUMN())))</f>
        <v>员工姓名</v>
      </c>
      <c r="C43" t="str">
        <f>IF(MOD(ROW(),3)=0,"",IF(MOD(ROW(),3)=1,
员工工资表!C$2,INDEX(员工工资表!$A:$M,(ROW()+4)/3+1,COLUMN())))</f>
        <v>所在部门</v>
      </c>
      <c r="D43" t="str">
        <f>IF(MOD(ROW(),3)=0,"",IF(MOD(ROW(),3)=1,
员工工资表!D$2,INDEX(员工工资表!$A:$M,(ROW()+4)/3+1,COLUMN())))</f>
        <v>基本工资</v>
      </c>
      <c r="E43" t="str">
        <f>IF(MOD(ROW(),3)=0,"",IF(MOD(ROW(),3)=1,
员工工资表!E$2,INDEX(员工工资表!$A:$M,(ROW()+4)/3+1,COLUMN())))</f>
        <v>奖金</v>
      </c>
      <c r="F43" t="str">
        <f>IF(MOD(ROW(),3)=0,"",IF(MOD(ROW(),3)=1,
员工工资表!F$2,INDEX(员工工资表!$A:$M,(ROW()+4)/3+1,COLUMN())))</f>
        <v>住房补助</v>
      </c>
      <c r="G43" t="str">
        <f>IF(MOD(ROW(),3)=0,"",IF(MOD(ROW(),3)=1,
员工工资表!G$2,INDEX(员工工资表!$A:$M,(ROW()+4)/3+1,COLUMN())))</f>
        <v>车费补助</v>
      </c>
      <c r="H43" t="str">
        <f>IF(MOD(ROW(),3)=0,"",IF(MOD(ROW(),3)=1,
员工工资表!H$2,INDEX(员工工资表!$A:$M,(ROW()+4)/3+1,COLUMN())))</f>
        <v>保险金</v>
      </c>
      <c r="I43" t="str">
        <f>IF(MOD(ROW(),3)=0,"",IF(MOD(ROW(),3)=1,
员工工资表!I$2,INDEX(员工工资表!$A:$M,(ROW()+4)/3+1,COLUMN())))</f>
        <v>请假扣款</v>
      </c>
      <c r="J43" t="str">
        <f>IF(MOD(ROW(),3)=0,"",IF(MOD(ROW(),3)=1,
员工工资表!J$2,INDEX(员工工资表!$A:$M,(ROW()+4)/3+1,COLUMN())))</f>
        <v>应发金额</v>
      </c>
      <c r="K43" t="str">
        <f>IF(MOD(ROW(),3)=0,"",IF(MOD(ROW(),3)=1,
员工工资表!K$2,INDEX(员工工资表!$A:$M,(ROW()+4)/3+1,COLUMN())))</f>
        <v>扣税所得额</v>
      </c>
      <c r="L43" t="str">
        <f>IF(MOD(ROW(),3)=0,"",IF(MOD(ROW(),3)=1,
员工工资表!L$2,INDEX(员工工资表!$A:$M,(ROW()+4)/3+1,COLUMN())))</f>
        <v>个人所得税</v>
      </c>
      <c r="M43" t="str">
        <f>IF(MOD(ROW(),3)=0,"",IF(MOD(ROW(),3)=1,
员工工资表!M$2,INDEX(员工工资表!$A:$M,(ROW()+4)/3+1,COLUMN())))</f>
        <v>实发金额</v>
      </c>
    </row>
    <row r="44" spans="1:13">
      <c r="A44">
        <f>IF(MOD(ROW(),3)=0,"",IF(MOD(ROW(),3)=1,
员工工资表!A$2,INDEX(员工工资表!$A:$M,(ROW()+4)/3+1,COLUMN())))</f>
        <v>1015</v>
      </c>
      <c r="B44">
        <f>IF(MOD(ROW(),3)=0,"",IF(MOD(ROW(),3)=1,
员工工资表!B$2,INDEX(员工工资表!$A:$M,(ROW()+4)/3+1,COLUMN())))</f>
        <v>0</v>
      </c>
      <c r="C44">
        <f>IF(MOD(ROW(),3)=0,"",IF(MOD(ROW(),3)=1,
员工工资表!C$2,INDEX(员工工资表!$A:$M,(ROW()+4)/3+1,COLUMN())))</f>
        <v>0</v>
      </c>
      <c r="D44" s="45">
        <f>IF(MOD(ROW(),3)=0,"",IF(MOD(ROW(),3)=1,
员工工资表!D$2,INDEX(员工工资表!$A:$M,(ROW()+4)/3+1,COLUMN())))</f>
        <v>0</v>
      </c>
      <c r="E44" s="45">
        <f>IF(MOD(ROW(),3)=0,"",IF(MOD(ROW(),3)=1,
员工工资表!E$2,INDEX(员工工资表!$A:$M,(ROW()+4)/3+1,COLUMN())))</f>
        <v>0</v>
      </c>
      <c r="F44" s="45">
        <f>IF(MOD(ROW(),3)=0,"",IF(MOD(ROW(),3)=1,
员工工资表!F$2,INDEX(员工工资表!$A:$M,(ROW()+4)/3+1,COLUMN())))</f>
        <v>0</v>
      </c>
      <c r="G44" s="45">
        <f>IF(MOD(ROW(),3)=0,"",IF(MOD(ROW(),3)=1,
员工工资表!G$2,INDEX(员工工资表!$A:$M,(ROW()+4)/3+1,COLUMN())))</f>
        <v>0</v>
      </c>
      <c r="H44" s="45">
        <f>IF(MOD(ROW(),3)=0,"",IF(MOD(ROW(),3)=1,
员工工资表!H$2,INDEX(员工工资表!$A:$M,(ROW()+4)/3+1,COLUMN())))</f>
        <v>0</v>
      </c>
      <c r="I44" s="45">
        <f>IF(MOD(ROW(),3)=0,"",IF(MOD(ROW(),3)=1,
员工工资表!I$2,INDEX(员工工资表!$A:$M,(ROW()+4)/3+1,COLUMN())))</f>
        <v>0</v>
      </c>
      <c r="J44" s="45">
        <f>IF(MOD(ROW(),3)=0,"",IF(MOD(ROW(),3)=1,
员工工资表!J$2,INDEX(员工工资表!$A:$M,(ROW()+4)/3+1,COLUMN())))</f>
        <v>0</v>
      </c>
      <c r="K44" s="45">
        <f>IF(MOD(ROW(),3)=0,"",IF(MOD(ROW(),3)=1,
员工工资表!K$2,INDEX(员工工资表!$A:$M,(ROW()+4)/3+1,COLUMN())))</f>
        <v>0</v>
      </c>
      <c r="L44">
        <f>IF(MOD(ROW(),3)=0,"",IF(MOD(ROW(),3)=1,
员工工资表!L$2,INDEX(员工工资表!$A:$M,(ROW()+4)/3+1,COLUMN())))</f>
        <v>0</v>
      </c>
      <c r="M44">
        <f>IF(MOD(ROW(),3)=0,"",IF(MOD(ROW(),3)=1,
员工工资表!M$2,INDEX(员工工资表!$A:$M,(ROW()+4)/3+1,COLUMN())))</f>
        <v>0</v>
      </c>
    </row>
    <row r="45" spans="1:13">
      <c r="A45" t="str">
        <f>IF(MOD(ROW(),3)=0,"",IF(MOD(ROW(),3)=1,
员工工资表!A$2,INDEX(员工工资表!$A:$M,(ROW()+4)/3+1,COLUMN())))</f>
        <v/>
      </c>
      <c r="B45" t="str">
        <f>IF(MOD(ROW(),3)=0,"",IF(MOD(ROW(),3)=1,
员工工资表!B$2,INDEX(员工工资表!$A:$M,(ROW()+4)/3+1,COLUMN())))</f>
        <v/>
      </c>
      <c r="C45" t="str">
        <f>IF(MOD(ROW(),3)=0,"",IF(MOD(ROW(),3)=1,
员工工资表!C$2,INDEX(员工工资表!$A:$M,(ROW()+4)/3+1,COLUMN())))</f>
        <v/>
      </c>
      <c r="D45" t="str">
        <f>IF(MOD(ROW(),3)=0,"",IF(MOD(ROW(),3)=1,
员工工资表!D$2,INDEX(员工工资表!$A:$M,(ROW()+4)/3+1,COLUMN())))</f>
        <v/>
      </c>
      <c r="E45" t="str">
        <f>IF(MOD(ROW(),3)=0,"",IF(MOD(ROW(),3)=1,
员工工资表!E$2,INDEX(员工工资表!$A:$M,(ROW()+4)/3+1,COLUMN())))</f>
        <v/>
      </c>
      <c r="F45" t="str">
        <f>IF(MOD(ROW(),3)=0,"",IF(MOD(ROW(),3)=1,
员工工资表!F$2,INDEX(员工工资表!$A:$M,(ROW()+4)/3+1,COLUMN())))</f>
        <v/>
      </c>
      <c r="G45" t="str">
        <f>IF(MOD(ROW(),3)=0,"",IF(MOD(ROW(),3)=1,
员工工资表!G$2,INDEX(员工工资表!$A:$M,(ROW()+4)/3+1,COLUMN())))</f>
        <v/>
      </c>
      <c r="H45" t="str">
        <f>IF(MOD(ROW(),3)=0,"",IF(MOD(ROW(),3)=1,
员工工资表!H$2,INDEX(员工工资表!$A:$M,(ROW()+4)/3+1,COLUMN())))</f>
        <v/>
      </c>
      <c r="I45" t="str">
        <f>IF(MOD(ROW(),3)=0,"",IF(MOD(ROW(),3)=1,
员工工资表!I$2,INDEX(员工工资表!$A:$M,(ROW()+4)/3+1,COLUMN())))</f>
        <v/>
      </c>
      <c r="J45" t="str">
        <f>IF(MOD(ROW(),3)=0,"",IF(MOD(ROW(),3)=1,
员工工资表!J$2,INDEX(员工工资表!$A:$M,(ROW()+4)/3+1,COLUMN())))</f>
        <v/>
      </c>
      <c r="K45" t="str">
        <f>IF(MOD(ROW(),3)=0,"",IF(MOD(ROW(),3)=1,
员工工资表!K$2,INDEX(员工工资表!$A:$M,(ROW()+4)/3+1,COLUMN())))</f>
        <v/>
      </c>
      <c r="L45" t="str">
        <f>IF(MOD(ROW(),3)=0,"",IF(MOD(ROW(),3)=1,
员工工资表!L$2,INDEX(员工工资表!$A:$M,(ROW()+4)/3+1,COLUMN())))</f>
        <v/>
      </c>
      <c r="M45" t="str">
        <f>IF(MOD(ROW(),3)=0,"",IF(MOD(ROW(),3)=1,
员工工资表!M$2,INDEX(员工工资表!$A:$M,(ROW()+4)/3+1,COLUMN())))</f>
        <v/>
      </c>
    </row>
    <row r="46" spans="1:13">
      <c r="A46" t="str">
        <f>IF(MOD(ROW(),3)=0,"",IF(MOD(ROW(),3)=1,
员工工资表!A$2,INDEX(员工工资表!$A:$M,(ROW()+4)/3+1,COLUMN())))</f>
        <v>员工编号</v>
      </c>
      <c r="B46" t="str">
        <f>IF(MOD(ROW(),3)=0,"",IF(MOD(ROW(),3)=1,
员工工资表!B$2,INDEX(员工工资表!$A:$M,(ROW()+4)/3+1,COLUMN())))</f>
        <v>员工姓名</v>
      </c>
      <c r="C46" t="str">
        <f>IF(MOD(ROW(),3)=0,"",IF(MOD(ROW(),3)=1,
员工工资表!C$2,INDEX(员工工资表!$A:$M,(ROW()+4)/3+1,COLUMN())))</f>
        <v>所在部门</v>
      </c>
      <c r="D46" t="str">
        <f>IF(MOD(ROW(),3)=0,"",IF(MOD(ROW(),3)=1,
员工工资表!D$2,INDEX(员工工资表!$A:$M,(ROW()+4)/3+1,COLUMN())))</f>
        <v>基本工资</v>
      </c>
      <c r="E46" t="str">
        <f>IF(MOD(ROW(),3)=0,"",IF(MOD(ROW(),3)=1,
员工工资表!E$2,INDEX(员工工资表!$A:$M,(ROW()+4)/3+1,COLUMN())))</f>
        <v>奖金</v>
      </c>
      <c r="F46" t="str">
        <f>IF(MOD(ROW(),3)=0,"",IF(MOD(ROW(),3)=1,
员工工资表!F$2,INDEX(员工工资表!$A:$M,(ROW()+4)/3+1,COLUMN())))</f>
        <v>住房补助</v>
      </c>
      <c r="G46" t="str">
        <f>IF(MOD(ROW(),3)=0,"",IF(MOD(ROW(),3)=1,
员工工资表!G$2,INDEX(员工工资表!$A:$M,(ROW()+4)/3+1,COLUMN())))</f>
        <v>车费补助</v>
      </c>
      <c r="H46" t="str">
        <f>IF(MOD(ROW(),3)=0,"",IF(MOD(ROW(),3)=1,
员工工资表!H$2,INDEX(员工工资表!$A:$M,(ROW()+4)/3+1,COLUMN())))</f>
        <v>保险金</v>
      </c>
      <c r="I46" t="str">
        <f>IF(MOD(ROW(),3)=0,"",IF(MOD(ROW(),3)=1,
员工工资表!I$2,INDEX(员工工资表!$A:$M,(ROW()+4)/3+1,COLUMN())))</f>
        <v>请假扣款</v>
      </c>
      <c r="J46" t="str">
        <f>IF(MOD(ROW(),3)=0,"",IF(MOD(ROW(),3)=1,
员工工资表!J$2,INDEX(员工工资表!$A:$M,(ROW()+4)/3+1,COLUMN())))</f>
        <v>应发金额</v>
      </c>
      <c r="K46" t="str">
        <f>IF(MOD(ROW(),3)=0,"",IF(MOD(ROW(),3)=1,
员工工资表!K$2,INDEX(员工工资表!$A:$M,(ROW()+4)/3+1,COLUMN())))</f>
        <v>扣税所得额</v>
      </c>
      <c r="L46" t="str">
        <f>IF(MOD(ROW(),3)=0,"",IF(MOD(ROW(),3)=1,
员工工资表!L$2,INDEX(员工工资表!$A:$M,(ROW()+4)/3+1,COLUMN())))</f>
        <v>个人所得税</v>
      </c>
      <c r="M46" t="str">
        <f>IF(MOD(ROW(),3)=0,"",IF(MOD(ROW(),3)=1,
员工工资表!M$2,INDEX(员工工资表!$A:$M,(ROW()+4)/3+1,COLUMN())))</f>
        <v>实发金额</v>
      </c>
    </row>
    <row r="47" spans="1:13">
      <c r="A47">
        <f>IF(MOD(ROW(),3)=0,"",IF(MOD(ROW(),3)=1,
员工工资表!A$2,INDEX(员工工资表!$A:$M,(ROW()+4)/3+1,COLUMN())))</f>
        <v>1016</v>
      </c>
      <c r="B47">
        <f>IF(MOD(ROW(),3)=0,"",IF(MOD(ROW(),3)=1,
员工工资表!B$2,INDEX(员工工资表!$A:$M,(ROW()+4)/3+1,COLUMN())))</f>
        <v>0</v>
      </c>
      <c r="C47">
        <f>IF(MOD(ROW(),3)=0,"",IF(MOD(ROW(),3)=1,
员工工资表!C$2,INDEX(员工工资表!$A:$M,(ROW()+4)/3+1,COLUMN())))</f>
        <v>0</v>
      </c>
      <c r="D47" s="45">
        <f>IF(MOD(ROW(),3)=0,"",IF(MOD(ROW(),3)=1,
员工工资表!D$2,INDEX(员工工资表!$A:$M,(ROW()+4)/3+1,COLUMN())))</f>
        <v>0</v>
      </c>
      <c r="E47" s="45">
        <f>IF(MOD(ROW(),3)=0,"",IF(MOD(ROW(),3)=1,
员工工资表!E$2,INDEX(员工工资表!$A:$M,(ROW()+4)/3+1,COLUMN())))</f>
        <v>0</v>
      </c>
      <c r="F47" s="45">
        <f>IF(MOD(ROW(),3)=0,"",IF(MOD(ROW(),3)=1,
员工工资表!F$2,INDEX(员工工资表!$A:$M,(ROW()+4)/3+1,COLUMN())))</f>
        <v>0</v>
      </c>
      <c r="G47" s="45">
        <f>IF(MOD(ROW(),3)=0,"",IF(MOD(ROW(),3)=1,
员工工资表!G$2,INDEX(员工工资表!$A:$M,(ROW()+4)/3+1,COLUMN())))</f>
        <v>0</v>
      </c>
      <c r="H47" s="45">
        <f>IF(MOD(ROW(),3)=0,"",IF(MOD(ROW(),3)=1,
员工工资表!H$2,INDEX(员工工资表!$A:$M,(ROW()+4)/3+1,COLUMN())))</f>
        <v>0</v>
      </c>
      <c r="I47" s="45">
        <f>IF(MOD(ROW(),3)=0,"",IF(MOD(ROW(),3)=1,
员工工资表!I$2,INDEX(员工工资表!$A:$M,(ROW()+4)/3+1,COLUMN())))</f>
        <v>0</v>
      </c>
      <c r="J47" s="45">
        <f>IF(MOD(ROW(),3)=0,"",IF(MOD(ROW(),3)=1,
员工工资表!J$2,INDEX(员工工资表!$A:$M,(ROW()+4)/3+1,COLUMN())))</f>
        <v>0</v>
      </c>
      <c r="K47" s="45">
        <f>IF(MOD(ROW(),3)=0,"",IF(MOD(ROW(),3)=1,
员工工资表!K$2,INDEX(员工工资表!$A:$M,(ROW()+4)/3+1,COLUMN())))</f>
        <v>0</v>
      </c>
      <c r="L47">
        <f>IF(MOD(ROW(),3)=0,"",IF(MOD(ROW(),3)=1,
员工工资表!L$2,INDEX(员工工资表!$A:$M,(ROW()+4)/3+1,COLUMN())))</f>
        <v>0</v>
      </c>
      <c r="M47">
        <f>IF(MOD(ROW(),3)=0,"",IF(MOD(ROW(),3)=1,
员工工资表!M$2,INDEX(员工工资表!$A:$M,(ROW()+4)/3+1,COLUMN())))</f>
        <v>0</v>
      </c>
    </row>
    <row r="48" spans="1:13">
      <c r="A48" t="str">
        <f>IF(MOD(ROW(),3)=0,"",IF(MOD(ROW(),3)=1,
员工工资表!A$2,INDEX(员工工资表!$A:$M,(ROW()+4)/3+1,COLUMN())))</f>
        <v/>
      </c>
      <c r="B48" t="str">
        <f>IF(MOD(ROW(),3)=0,"",IF(MOD(ROW(),3)=1,
员工工资表!B$2,INDEX(员工工资表!$A:$M,(ROW()+4)/3+1,COLUMN())))</f>
        <v/>
      </c>
      <c r="C48" t="str">
        <f>IF(MOD(ROW(),3)=0,"",IF(MOD(ROW(),3)=1,
员工工资表!C$2,INDEX(员工工资表!$A:$M,(ROW()+4)/3+1,COLUMN())))</f>
        <v/>
      </c>
      <c r="D48" t="str">
        <f>IF(MOD(ROW(),3)=0,"",IF(MOD(ROW(),3)=1,
员工工资表!D$2,INDEX(员工工资表!$A:$M,(ROW()+4)/3+1,COLUMN())))</f>
        <v/>
      </c>
      <c r="E48" t="str">
        <f>IF(MOD(ROW(),3)=0,"",IF(MOD(ROW(),3)=1,
员工工资表!E$2,INDEX(员工工资表!$A:$M,(ROW()+4)/3+1,COLUMN())))</f>
        <v/>
      </c>
      <c r="F48" t="str">
        <f>IF(MOD(ROW(),3)=0,"",IF(MOD(ROW(),3)=1,
员工工资表!F$2,INDEX(员工工资表!$A:$M,(ROW()+4)/3+1,COLUMN())))</f>
        <v/>
      </c>
      <c r="G48" t="str">
        <f>IF(MOD(ROW(),3)=0,"",IF(MOD(ROW(),3)=1,
员工工资表!G$2,INDEX(员工工资表!$A:$M,(ROW()+4)/3+1,COLUMN())))</f>
        <v/>
      </c>
      <c r="H48" t="str">
        <f>IF(MOD(ROW(),3)=0,"",IF(MOD(ROW(),3)=1,
员工工资表!H$2,INDEX(员工工资表!$A:$M,(ROW()+4)/3+1,COLUMN())))</f>
        <v/>
      </c>
      <c r="I48" t="str">
        <f>IF(MOD(ROW(),3)=0,"",IF(MOD(ROW(),3)=1,
员工工资表!I$2,INDEX(员工工资表!$A:$M,(ROW()+4)/3+1,COLUMN())))</f>
        <v/>
      </c>
      <c r="J48" t="str">
        <f>IF(MOD(ROW(),3)=0,"",IF(MOD(ROW(),3)=1,
员工工资表!J$2,INDEX(员工工资表!$A:$M,(ROW()+4)/3+1,COLUMN())))</f>
        <v/>
      </c>
      <c r="K48" t="str">
        <f>IF(MOD(ROW(),3)=0,"",IF(MOD(ROW(),3)=1,
员工工资表!K$2,INDEX(员工工资表!$A:$M,(ROW()+4)/3+1,COLUMN())))</f>
        <v/>
      </c>
      <c r="L48" t="str">
        <f>IF(MOD(ROW(),3)=0,"",IF(MOD(ROW(),3)=1,
员工工资表!L$2,INDEX(员工工资表!$A:$M,(ROW()+4)/3+1,COLUMN())))</f>
        <v/>
      </c>
      <c r="M48" t="str">
        <f>IF(MOD(ROW(),3)=0,"",IF(MOD(ROW(),3)=1,
员工工资表!M$2,INDEX(员工工资表!$A:$M,(ROW()+4)/3+1,COLUMN())))</f>
        <v/>
      </c>
    </row>
    <row r="49" spans="1:13">
      <c r="A49" t="str">
        <f>IF(MOD(ROW(),3)=0,"",IF(MOD(ROW(),3)=1,
员工工资表!A$2,INDEX(员工工资表!$A:$M,(ROW()+4)/3+1,COLUMN())))</f>
        <v>员工编号</v>
      </c>
      <c r="B49" t="str">
        <f>IF(MOD(ROW(),3)=0,"",IF(MOD(ROW(),3)=1,
员工工资表!B$2,INDEX(员工工资表!$A:$M,(ROW()+4)/3+1,COLUMN())))</f>
        <v>员工姓名</v>
      </c>
      <c r="C49" t="str">
        <f>IF(MOD(ROW(),3)=0,"",IF(MOD(ROW(),3)=1,
员工工资表!C$2,INDEX(员工工资表!$A:$M,(ROW()+4)/3+1,COLUMN())))</f>
        <v>所在部门</v>
      </c>
      <c r="D49" t="str">
        <f>IF(MOD(ROW(),3)=0,"",IF(MOD(ROW(),3)=1,
员工工资表!D$2,INDEX(员工工资表!$A:$M,(ROW()+4)/3+1,COLUMN())))</f>
        <v>基本工资</v>
      </c>
      <c r="E49" t="str">
        <f>IF(MOD(ROW(),3)=0,"",IF(MOD(ROW(),3)=1,
员工工资表!E$2,INDEX(员工工资表!$A:$M,(ROW()+4)/3+1,COLUMN())))</f>
        <v>奖金</v>
      </c>
      <c r="F49" t="str">
        <f>IF(MOD(ROW(),3)=0,"",IF(MOD(ROW(),3)=1,
员工工资表!F$2,INDEX(员工工资表!$A:$M,(ROW()+4)/3+1,COLUMN())))</f>
        <v>住房补助</v>
      </c>
      <c r="G49" t="str">
        <f>IF(MOD(ROW(),3)=0,"",IF(MOD(ROW(),3)=1,
员工工资表!G$2,INDEX(员工工资表!$A:$M,(ROW()+4)/3+1,COLUMN())))</f>
        <v>车费补助</v>
      </c>
      <c r="H49" t="str">
        <f>IF(MOD(ROW(),3)=0,"",IF(MOD(ROW(),3)=1,
员工工资表!H$2,INDEX(员工工资表!$A:$M,(ROW()+4)/3+1,COLUMN())))</f>
        <v>保险金</v>
      </c>
      <c r="I49" t="str">
        <f>IF(MOD(ROW(),3)=0,"",IF(MOD(ROW(),3)=1,
员工工资表!I$2,INDEX(员工工资表!$A:$M,(ROW()+4)/3+1,COLUMN())))</f>
        <v>请假扣款</v>
      </c>
      <c r="J49" t="str">
        <f>IF(MOD(ROW(),3)=0,"",IF(MOD(ROW(),3)=1,
员工工资表!J$2,INDEX(员工工资表!$A:$M,(ROW()+4)/3+1,COLUMN())))</f>
        <v>应发金额</v>
      </c>
      <c r="K49" t="str">
        <f>IF(MOD(ROW(),3)=0,"",IF(MOD(ROW(),3)=1,
员工工资表!K$2,INDEX(员工工资表!$A:$M,(ROW()+4)/3+1,COLUMN())))</f>
        <v>扣税所得额</v>
      </c>
      <c r="L49" t="str">
        <f>IF(MOD(ROW(),3)=0,"",IF(MOD(ROW(),3)=1,
员工工资表!L$2,INDEX(员工工资表!$A:$M,(ROW()+4)/3+1,COLUMN())))</f>
        <v>个人所得税</v>
      </c>
      <c r="M49" t="str">
        <f>IF(MOD(ROW(),3)=0,"",IF(MOD(ROW(),3)=1,
员工工资表!M$2,INDEX(员工工资表!$A:$M,(ROW()+4)/3+1,COLUMN())))</f>
        <v>实发金额</v>
      </c>
    </row>
    <row r="50" spans="1:13">
      <c r="A50">
        <f>IF(MOD(ROW(),3)=0,"",IF(MOD(ROW(),3)=1,
员工工资表!A$2,INDEX(员工工资表!$A:$M,(ROW()+4)/3+1,COLUMN())))</f>
        <v>1017</v>
      </c>
      <c r="B50">
        <f>IF(MOD(ROW(),3)=0,"",IF(MOD(ROW(),3)=1,
员工工资表!B$2,INDEX(员工工资表!$A:$M,(ROW()+4)/3+1,COLUMN())))</f>
        <v>0</v>
      </c>
      <c r="C50">
        <f>IF(MOD(ROW(),3)=0,"",IF(MOD(ROW(),3)=1,
员工工资表!C$2,INDEX(员工工资表!$A:$M,(ROW()+4)/3+1,COLUMN())))</f>
        <v>0</v>
      </c>
      <c r="D50" s="45">
        <f>IF(MOD(ROW(),3)=0,"",IF(MOD(ROW(),3)=1,
员工工资表!D$2,INDEX(员工工资表!$A:$M,(ROW()+4)/3+1,COLUMN())))</f>
        <v>0</v>
      </c>
      <c r="E50" s="45">
        <f>IF(MOD(ROW(),3)=0,"",IF(MOD(ROW(),3)=1,
员工工资表!E$2,INDEX(员工工资表!$A:$M,(ROW()+4)/3+1,COLUMN())))</f>
        <v>0</v>
      </c>
      <c r="F50" s="45">
        <f>IF(MOD(ROW(),3)=0,"",IF(MOD(ROW(),3)=1,
员工工资表!F$2,INDEX(员工工资表!$A:$M,(ROW()+4)/3+1,COLUMN())))</f>
        <v>0</v>
      </c>
      <c r="G50" s="45">
        <f>IF(MOD(ROW(),3)=0,"",IF(MOD(ROW(),3)=1,
员工工资表!G$2,INDEX(员工工资表!$A:$M,(ROW()+4)/3+1,COLUMN())))</f>
        <v>0</v>
      </c>
      <c r="H50" s="45">
        <f>IF(MOD(ROW(),3)=0,"",IF(MOD(ROW(),3)=1,
员工工资表!H$2,INDEX(员工工资表!$A:$M,(ROW()+4)/3+1,COLUMN())))</f>
        <v>0</v>
      </c>
      <c r="I50" s="45">
        <f>IF(MOD(ROW(),3)=0,"",IF(MOD(ROW(),3)=1,
员工工资表!I$2,INDEX(员工工资表!$A:$M,(ROW()+4)/3+1,COLUMN())))</f>
        <v>0</v>
      </c>
      <c r="J50" s="45">
        <f>IF(MOD(ROW(),3)=0,"",IF(MOD(ROW(),3)=1,
员工工资表!J$2,INDEX(员工工资表!$A:$M,(ROW()+4)/3+1,COLUMN())))</f>
        <v>0</v>
      </c>
      <c r="K50" s="45">
        <f>IF(MOD(ROW(),3)=0,"",IF(MOD(ROW(),3)=1,
员工工资表!K$2,INDEX(员工工资表!$A:$M,(ROW()+4)/3+1,COLUMN())))</f>
        <v>0</v>
      </c>
      <c r="L50">
        <f>IF(MOD(ROW(),3)=0,"",IF(MOD(ROW(),3)=1,
员工工资表!L$2,INDEX(员工工资表!$A:$M,(ROW()+4)/3+1,COLUMN())))</f>
        <v>0</v>
      </c>
      <c r="M50">
        <f>IF(MOD(ROW(),3)=0,"",IF(MOD(ROW(),3)=1,
员工工资表!M$2,INDEX(员工工资表!$A:$M,(ROW()+4)/3+1,COLUMN())))</f>
        <v>0</v>
      </c>
    </row>
    <row r="51" spans="1:13">
      <c r="A51" t="str">
        <f>IF(MOD(ROW(),3)=0,"",IF(MOD(ROW(),3)=1,
员工工资表!A$2,INDEX(员工工资表!$A:$M,(ROW()+4)/3+1,COLUMN())))</f>
        <v/>
      </c>
      <c r="B51" t="str">
        <f>IF(MOD(ROW(),3)=0,"",IF(MOD(ROW(),3)=1,
员工工资表!B$2,INDEX(员工工资表!$A:$M,(ROW()+4)/3+1,COLUMN())))</f>
        <v/>
      </c>
      <c r="C51" t="str">
        <f>IF(MOD(ROW(),3)=0,"",IF(MOD(ROW(),3)=1,
员工工资表!C$2,INDEX(员工工资表!$A:$M,(ROW()+4)/3+1,COLUMN())))</f>
        <v/>
      </c>
      <c r="D51" t="str">
        <f>IF(MOD(ROW(),3)=0,"",IF(MOD(ROW(),3)=1,
员工工资表!D$2,INDEX(员工工资表!$A:$M,(ROW()+4)/3+1,COLUMN())))</f>
        <v/>
      </c>
      <c r="E51" t="str">
        <f>IF(MOD(ROW(),3)=0,"",IF(MOD(ROW(),3)=1,
员工工资表!E$2,INDEX(员工工资表!$A:$M,(ROW()+4)/3+1,COLUMN())))</f>
        <v/>
      </c>
      <c r="F51" t="str">
        <f>IF(MOD(ROW(),3)=0,"",IF(MOD(ROW(),3)=1,
员工工资表!F$2,INDEX(员工工资表!$A:$M,(ROW()+4)/3+1,COLUMN())))</f>
        <v/>
      </c>
      <c r="G51" t="str">
        <f>IF(MOD(ROW(),3)=0,"",IF(MOD(ROW(),3)=1,
员工工资表!G$2,INDEX(员工工资表!$A:$M,(ROW()+4)/3+1,COLUMN())))</f>
        <v/>
      </c>
      <c r="H51" t="str">
        <f>IF(MOD(ROW(),3)=0,"",IF(MOD(ROW(),3)=1,
员工工资表!H$2,INDEX(员工工资表!$A:$M,(ROW()+4)/3+1,COLUMN())))</f>
        <v/>
      </c>
      <c r="I51" t="str">
        <f>IF(MOD(ROW(),3)=0,"",IF(MOD(ROW(),3)=1,
员工工资表!I$2,INDEX(员工工资表!$A:$M,(ROW()+4)/3+1,COLUMN())))</f>
        <v/>
      </c>
      <c r="J51" t="str">
        <f>IF(MOD(ROW(),3)=0,"",IF(MOD(ROW(),3)=1,
员工工资表!J$2,INDEX(员工工资表!$A:$M,(ROW()+4)/3+1,COLUMN())))</f>
        <v/>
      </c>
      <c r="K51" t="str">
        <f>IF(MOD(ROW(),3)=0,"",IF(MOD(ROW(),3)=1,
员工工资表!K$2,INDEX(员工工资表!$A:$M,(ROW()+4)/3+1,COLUMN())))</f>
        <v/>
      </c>
      <c r="L51" t="str">
        <f>IF(MOD(ROW(),3)=0,"",IF(MOD(ROW(),3)=1,
员工工资表!L$2,INDEX(员工工资表!$A:$M,(ROW()+4)/3+1,COLUMN())))</f>
        <v/>
      </c>
      <c r="M51" t="str">
        <f>IF(MOD(ROW(),3)=0,"",IF(MOD(ROW(),3)=1,
员工工资表!M$2,INDEX(员工工资表!$A:$M,(ROW()+4)/3+1,COLUMN())))</f>
        <v/>
      </c>
    </row>
    <row r="52" spans="1:13">
      <c r="A52" t="str">
        <f>IF(MOD(ROW(),3)=0,"",IF(MOD(ROW(),3)=1,
员工工资表!A$2,INDEX(员工工资表!$A:$M,(ROW()+4)/3+1,COLUMN())))</f>
        <v>员工编号</v>
      </c>
      <c r="B52" t="str">
        <f>IF(MOD(ROW(),3)=0,"",IF(MOD(ROW(),3)=1,
员工工资表!B$2,INDEX(员工工资表!$A:$M,(ROW()+4)/3+1,COLUMN())))</f>
        <v>员工姓名</v>
      </c>
      <c r="C52" t="str">
        <f>IF(MOD(ROW(),3)=0,"",IF(MOD(ROW(),3)=1,
员工工资表!C$2,INDEX(员工工资表!$A:$M,(ROW()+4)/3+1,COLUMN())))</f>
        <v>所在部门</v>
      </c>
      <c r="D52" t="str">
        <f>IF(MOD(ROW(),3)=0,"",IF(MOD(ROW(),3)=1,
员工工资表!D$2,INDEX(员工工资表!$A:$M,(ROW()+4)/3+1,COLUMN())))</f>
        <v>基本工资</v>
      </c>
      <c r="E52" t="str">
        <f>IF(MOD(ROW(),3)=0,"",IF(MOD(ROW(),3)=1,
员工工资表!E$2,INDEX(员工工资表!$A:$M,(ROW()+4)/3+1,COLUMN())))</f>
        <v>奖金</v>
      </c>
      <c r="F52" t="str">
        <f>IF(MOD(ROW(),3)=0,"",IF(MOD(ROW(),3)=1,
员工工资表!F$2,INDEX(员工工资表!$A:$M,(ROW()+4)/3+1,COLUMN())))</f>
        <v>住房补助</v>
      </c>
      <c r="G52" t="str">
        <f>IF(MOD(ROW(),3)=0,"",IF(MOD(ROW(),3)=1,
员工工资表!G$2,INDEX(员工工资表!$A:$M,(ROW()+4)/3+1,COLUMN())))</f>
        <v>车费补助</v>
      </c>
      <c r="H52" t="str">
        <f>IF(MOD(ROW(),3)=0,"",IF(MOD(ROW(),3)=1,
员工工资表!H$2,INDEX(员工工资表!$A:$M,(ROW()+4)/3+1,COLUMN())))</f>
        <v>保险金</v>
      </c>
      <c r="I52" t="str">
        <f>IF(MOD(ROW(),3)=0,"",IF(MOD(ROW(),3)=1,
员工工资表!I$2,INDEX(员工工资表!$A:$M,(ROW()+4)/3+1,COLUMN())))</f>
        <v>请假扣款</v>
      </c>
      <c r="J52" t="str">
        <f>IF(MOD(ROW(),3)=0,"",IF(MOD(ROW(),3)=1,
员工工资表!J$2,INDEX(员工工资表!$A:$M,(ROW()+4)/3+1,COLUMN())))</f>
        <v>应发金额</v>
      </c>
      <c r="K52" t="str">
        <f>IF(MOD(ROW(),3)=0,"",IF(MOD(ROW(),3)=1,
员工工资表!K$2,INDEX(员工工资表!$A:$M,(ROW()+4)/3+1,COLUMN())))</f>
        <v>扣税所得额</v>
      </c>
      <c r="L52" t="str">
        <f>IF(MOD(ROW(),3)=0,"",IF(MOD(ROW(),3)=1,
员工工资表!L$2,INDEX(员工工资表!$A:$M,(ROW()+4)/3+1,COLUMN())))</f>
        <v>个人所得税</v>
      </c>
      <c r="M52" t="str">
        <f>IF(MOD(ROW(),3)=0,"",IF(MOD(ROW(),3)=1,
员工工资表!M$2,INDEX(员工工资表!$A:$M,(ROW()+4)/3+1,COLUMN())))</f>
        <v>实发金额</v>
      </c>
    </row>
    <row r="53" spans="1:13">
      <c r="A53">
        <f>IF(MOD(ROW(),3)=0,"",IF(MOD(ROW(),3)=1,
员工工资表!A$2,INDEX(员工工资表!$A:$M,(ROW()+4)/3+1,COLUMN())))</f>
        <v>1018</v>
      </c>
      <c r="B53">
        <f>IF(MOD(ROW(),3)=0,"",IF(MOD(ROW(),3)=1,
员工工资表!B$2,INDEX(员工工资表!$A:$M,(ROW()+4)/3+1,COLUMN())))</f>
        <v>0</v>
      </c>
      <c r="C53">
        <f>IF(MOD(ROW(),3)=0,"",IF(MOD(ROW(),3)=1,
员工工资表!C$2,INDEX(员工工资表!$A:$M,(ROW()+4)/3+1,COLUMN())))</f>
        <v>0</v>
      </c>
      <c r="D53" s="45">
        <f>IF(MOD(ROW(),3)=0,"",IF(MOD(ROW(),3)=1,
员工工资表!D$2,INDEX(员工工资表!$A:$M,(ROW()+4)/3+1,COLUMN())))</f>
        <v>0</v>
      </c>
      <c r="E53" s="45">
        <f>IF(MOD(ROW(),3)=0,"",IF(MOD(ROW(),3)=1,
员工工资表!E$2,INDEX(员工工资表!$A:$M,(ROW()+4)/3+1,COLUMN())))</f>
        <v>0</v>
      </c>
      <c r="F53" s="45">
        <f>IF(MOD(ROW(),3)=0,"",IF(MOD(ROW(),3)=1,
员工工资表!F$2,INDEX(员工工资表!$A:$M,(ROW()+4)/3+1,COLUMN())))</f>
        <v>0</v>
      </c>
      <c r="G53" s="45">
        <f>IF(MOD(ROW(),3)=0,"",IF(MOD(ROW(),3)=1,
员工工资表!G$2,INDEX(员工工资表!$A:$M,(ROW()+4)/3+1,COLUMN())))</f>
        <v>0</v>
      </c>
      <c r="H53" s="45">
        <f>IF(MOD(ROW(),3)=0,"",IF(MOD(ROW(),3)=1,
员工工资表!H$2,INDEX(员工工资表!$A:$M,(ROW()+4)/3+1,COLUMN())))</f>
        <v>0</v>
      </c>
      <c r="I53" s="45">
        <f>IF(MOD(ROW(),3)=0,"",IF(MOD(ROW(),3)=1,
员工工资表!I$2,INDEX(员工工资表!$A:$M,(ROW()+4)/3+1,COLUMN())))</f>
        <v>0</v>
      </c>
      <c r="J53" s="45">
        <f>IF(MOD(ROW(),3)=0,"",IF(MOD(ROW(),3)=1,
员工工资表!J$2,INDEX(员工工资表!$A:$M,(ROW()+4)/3+1,COLUMN())))</f>
        <v>0</v>
      </c>
      <c r="K53" s="45">
        <f>IF(MOD(ROW(),3)=0,"",IF(MOD(ROW(),3)=1,
员工工资表!K$2,INDEX(员工工资表!$A:$M,(ROW()+4)/3+1,COLUMN())))</f>
        <v>0</v>
      </c>
      <c r="L53">
        <f>IF(MOD(ROW(),3)=0,"",IF(MOD(ROW(),3)=1,
员工工资表!L$2,INDEX(员工工资表!$A:$M,(ROW()+4)/3+1,COLUMN())))</f>
        <v>0</v>
      </c>
      <c r="M53">
        <f>IF(MOD(ROW(),3)=0,"",IF(MOD(ROW(),3)=1,
员工工资表!M$2,INDEX(员工工资表!$A:$M,(ROW()+4)/3+1,COLUMN())))</f>
        <v>0</v>
      </c>
    </row>
    <row r="54" spans="1:13">
      <c r="A54" t="str">
        <f>IF(MOD(ROW(),3)=0,"",IF(MOD(ROW(),3)=1,
员工工资表!A$2,INDEX(员工工资表!$A:$M,(ROW()+4)/3+1,COLUMN())))</f>
        <v/>
      </c>
      <c r="B54" t="str">
        <f>IF(MOD(ROW(),3)=0,"",IF(MOD(ROW(),3)=1,
员工工资表!B$2,INDEX(员工工资表!$A:$M,(ROW()+4)/3+1,COLUMN())))</f>
        <v/>
      </c>
      <c r="C54" t="str">
        <f>IF(MOD(ROW(),3)=0,"",IF(MOD(ROW(),3)=1,
员工工资表!C$2,INDEX(员工工资表!$A:$M,(ROW()+4)/3+1,COLUMN())))</f>
        <v/>
      </c>
      <c r="D54" t="str">
        <f>IF(MOD(ROW(),3)=0,"",IF(MOD(ROW(),3)=1,
员工工资表!D$2,INDEX(员工工资表!$A:$M,(ROW()+4)/3+1,COLUMN())))</f>
        <v/>
      </c>
      <c r="E54" t="str">
        <f>IF(MOD(ROW(),3)=0,"",IF(MOD(ROW(),3)=1,
员工工资表!E$2,INDEX(员工工资表!$A:$M,(ROW()+4)/3+1,COLUMN())))</f>
        <v/>
      </c>
      <c r="F54" t="str">
        <f>IF(MOD(ROW(),3)=0,"",IF(MOD(ROW(),3)=1,
员工工资表!F$2,INDEX(员工工资表!$A:$M,(ROW()+4)/3+1,COLUMN())))</f>
        <v/>
      </c>
      <c r="G54" t="str">
        <f>IF(MOD(ROW(),3)=0,"",IF(MOD(ROW(),3)=1,
员工工资表!G$2,INDEX(员工工资表!$A:$M,(ROW()+4)/3+1,COLUMN())))</f>
        <v/>
      </c>
      <c r="H54" t="str">
        <f>IF(MOD(ROW(),3)=0,"",IF(MOD(ROW(),3)=1,
员工工资表!H$2,INDEX(员工工资表!$A:$M,(ROW()+4)/3+1,COLUMN())))</f>
        <v/>
      </c>
      <c r="I54" t="str">
        <f>IF(MOD(ROW(),3)=0,"",IF(MOD(ROW(),3)=1,
员工工资表!I$2,INDEX(员工工资表!$A:$M,(ROW()+4)/3+1,COLUMN())))</f>
        <v/>
      </c>
      <c r="J54" t="str">
        <f>IF(MOD(ROW(),3)=0,"",IF(MOD(ROW(),3)=1,
员工工资表!J$2,INDEX(员工工资表!$A:$M,(ROW()+4)/3+1,COLUMN())))</f>
        <v/>
      </c>
      <c r="K54" t="str">
        <f>IF(MOD(ROW(),3)=0,"",IF(MOD(ROW(),3)=1,
员工工资表!K$2,INDEX(员工工资表!$A:$M,(ROW()+4)/3+1,COLUMN())))</f>
        <v/>
      </c>
      <c r="L54" t="str">
        <f>IF(MOD(ROW(),3)=0,"",IF(MOD(ROW(),3)=1,
员工工资表!M$2,INDEX(员工工资表!$A:$M,(ROW()+4)/3+1,COLUMN())))</f>
        <v/>
      </c>
    </row>
  </sheetData>
  <sheetCalcPr fullCalcOnLoad="1"/>
  <phoneticPr fontId="1" type="noConversion"/>
  <pageMargins left="0.75" right="0.75" top="1" bottom="1" header="0.5" footer="0.5"/>
  <pageSetup paperSize="9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1"/>
  <sheetViews>
    <sheetView workbookViewId="0">
      <selection activeCell="C3" sqref="C3"/>
    </sheetView>
  </sheetViews>
  <sheetFormatPr defaultRowHeight="14.25"/>
  <cols>
    <col min="2" max="3" width="11.25" customWidth="1"/>
    <col min="4" max="4" width="12.125" customWidth="1"/>
    <col min="5" max="5" width="13.5" customWidth="1"/>
  </cols>
  <sheetData>
    <row r="1" spans="1:6" ht="30.75" customHeight="1">
      <c r="B1" s="55" t="s">
        <v>39</v>
      </c>
      <c r="C1" s="56"/>
      <c r="D1" s="56"/>
      <c r="E1" s="57"/>
      <c r="F1" s="46"/>
    </row>
    <row r="2" spans="1:6">
      <c r="A2">
        <v>10</v>
      </c>
      <c r="B2" s="48" t="s">
        <v>28</v>
      </c>
      <c r="C2" s="47"/>
      <c r="D2" s="58"/>
      <c r="E2" s="59"/>
    </row>
    <row r="3" spans="1:6">
      <c r="B3" s="48" t="s">
        <v>29</v>
      </c>
      <c r="C3" s="47">
        <f>INDEX(员工工资表!A3:M20,A2,2)</f>
        <v>0</v>
      </c>
      <c r="D3" s="58"/>
      <c r="E3" s="59"/>
    </row>
    <row r="4" spans="1:6">
      <c r="B4" s="48" t="s">
        <v>30</v>
      </c>
      <c r="C4" s="47">
        <f>INDEX(员工工资表!A3:M20,A2,3)</f>
        <v>0</v>
      </c>
      <c r="D4" s="58"/>
      <c r="E4" s="59"/>
    </row>
    <row r="5" spans="1:6">
      <c r="B5" s="48" t="s">
        <v>31</v>
      </c>
      <c r="C5" s="12">
        <f>INDEX(员工工资表!A3:M20,A2,4)</f>
        <v>0</v>
      </c>
      <c r="D5" s="58"/>
      <c r="E5" s="59"/>
    </row>
    <row r="6" spans="1:6">
      <c r="B6" s="48" t="s">
        <v>12</v>
      </c>
      <c r="C6" s="12">
        <f>INDEX(员工工资表!A3:M20,A2,5)</f>
        <v>0</v>
      </c>
      <c r="D6" s="58"/>
      <c r="E6" s="59"/>
    </row>
    <row r="7" spans="1:6">
      <c r="B7" s="48" t="s">
        <v>32</v>
      </c>
      <c r="C7" s="12">
        <f>INDEX(员工工资表!A3:M20,A2,6)</f>
        <v>0</v>
      </c>
      <c r="D7" s="49" t="s">
        <v>35</v>
      </c>
      <c r="E7" s="51">
        <f>INDEX(员工工资表!A3:M20,A2,10)</f>
        <v>0</v>
      </c>
    </row>
    <row r="8" spans="1:6">
      <c r="B8" s="48" t="s">
        <v>33</v>
      </c>
      <c r="C8" s="12">
        <f>INDEX(员工工资表!A3:M20,A2,7)</f>
        <v>0</v>
      </c>
      <c r="D8" s="49" t="s">
        <v>36</v>
      </c>
      <c r="E8" s="51">
        <f>INDEX(员工工资表!A3:M20,A2,11)</f>
        <v>0</v>
      </c>
    </row>
    <row r="9" spans="1:6">
      <c r="B9" s="48" t="s">
        <v>14</v>
      </c>
      <c r="C9" s="12">
        <f>INDEX(员工工资表!A3:M20,A2,8)</f>
        <v>0</v>
      </c>
      <c r="D9" s="49" t="s">
        <v>37</v>
      </c>
      <c r="E9" s="51">
        <f>INDEX(员工工资表!A3:M20,A2,12)</f>
        <v>0</v>
      </c>
    </row>
    <row r="10" spans="1:6">
      <c r="B10" s="48" t="s">
        <v>34</v>
      </c>
      <c r="C10" s="12">
        <f>INDEX(员工工资表!A3:M20,A2,9)</f>
        <v>0</v>
      </c>
      <c r="D10" s="49" t="s">
        <v>38</v>
      </c>
      <c r="E10" s="51">
        <f>INDEX(员工工资表!A3:M20,A2,13)</f>
        <v>0</v>
      </c>
    </row>
    <row r="11" spans="1:6" ht="15" thickBot="1">
      <c r="B11" s="60" t="s">
        <v>40</v>
      </c>
      <c r="C11" s="61"/>
      <c r="D11" s="62">
        <f ca="1">TODAY()</f>
        <v>41087</v>
      </c>
      <c r="E11" s="63"/>
    </row>
  </sheetData>
  <mergeCells count="4">
    <mergeCell ref="B1:E1"/>
    <mergeCell ref="D2:E6"/>
    <mergeCell ref="B11:C11"/>
    <mergeCell ref="D11:E11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838200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"/>
  <sheetViews>
    <sheetView workbookViewId="0">
      <selection activeCell="E3" sqref="E3:E20"/>
    </sheetView>
  </sheetViews>
  <sheetFormatPr defaultRowHeight="14.25"/>
  <sheetData>
    <row r="1" spans="1:5" ht="27" customHeight="1">
      <c r="A1" s="64" t="s">
        <v>0</v>
      </c>
      <c r="B1" s="65"/>
      <c r="C1" s="65"/>
      <c r="D1" s="65"/>
      <c r="E1" s="66"/>
    </row>
    <row r="2" spans="1:5">
      <c r="A2" s="7" t="s">
        <v>1</v>
      </c>
      <c r="B2" s="8" t="s">
        <v>2</v>
      </c>
      <c r="C2" s="8" t="s">
        <v>4</v>
      </c>
      <c r="D2" s="8" t="s">
        <v>3</v>
      </c>
      <c r="E2" s="9" t="s">
        <v>5</v>
      </c>
    </row>
    <row r="3" spans="1:5">
      <c r="A3" s="2">
        <v>1001</v>
      </c>
      <c r="B3" s="1"/>
      <c r="C3" s="1"/>
      <c r="D3" s="1"/>
      <c r="E3" s="3"/>
    </row>
    <row r="4" spans="1:5">
      <c r="A4" s="2">
        <v>1002</v>
      </c>
      <c r="B4" s="1"/>
      <c r="C4" s="1"/>
      <c r="D4" s="1"/>
      <c r="E4" s="3"/>
    </row>
    <row r="5" spans="1:5">
      <c r="A5" s="2">
        <v>1003</v>
      </c>
      <c r="B5" s="1"/>
      <c r="C5" s="1"/>
      <c r="D5" s="1"/>
      <c r="E5" s="3"/>
    </row>
    <row r="6" spans="1:5">
      <c r="A6" s="2">
        <v>1004</v>
      </c>
      <c r="B6" s="1"/>
      <c r="C6" s="1"/>
      <c r="D6" s="1"/>
      <c r="E6" s="3"/>
    </row>
    <row r="7" spans="1:5">
      <c r="A7" s="2">
        <v>1005</v>
      </c>
      <c r="B7" s="1"/>
      <c r="C7" s="1"/>
      <c r="D7" s="1"/>
      <c r="E7" s="3"/>
    </row>
    <row r="8" spans="1:5">
      <c r="A8" s="2">
        <v>1006</v>
      </c>
      <c r="B8" s="1"/>
      <c r="C8" s="1"/>
      <c r="D8" s="1"/>
      <c r="E8" s="3"/>
    </row>
    <row r="9" spans="1:5">
      <c r="A9" s="2">
        <v>1007</v>
      </c>
      <c r="B9" s="1"/>
      <c r="C9" s="1"/>
      <c r="D9" s="1"/>
      <c r="E9" s="3"/>
    </row>
    <row r="10" spans="1:5">
      <c r="A10" s="2">
        <v>1008</v>
      </c>
      <c r="B10" s="1"/>
      <c r="C10" s="1"/>
      <c r="D10" s="1"/>
      <c r="E10" s="3"/>
    </row>
    <row r="11" spans="1:5">
      <c r="A11" s="2">
        <v>1009</v>
      </c>
      <c r="B11" s="1"/>
      <c r="C11" s="1"/>
      <c r="D11" s="1"/>
      <c r="E11" s="3"/>
    </row>
    <row r="12" spans="1:5">
      <c r="A12" s="2">
        <v>1010</v>
      </c>
      <c r="B12" s="1"/>
      <c r="C12" s="1"/>
      <c r="D12" s="1"/>
      <c r="E12" s="3"/>
    </row>
    <row r="13" spans="1:5">
      <c r="A13" s="2">
        <v>1011</v>
      </c>
      <c r="B13" s="1"/>
      <c r="C13" s="1"/>
      <c r="D13" s="1"/>
      <c r="E13" s="3"/>
    </row>
    <row r="14" spans="1:5">
      <c r="A14" s="2">
        <v>1012</v>
      </c>
      <c r="B14" s="1"/>
      <c r="C14" s="1"/>
      <c r="D14" s="1"/>
      <c r="E14" s="3"/>
    </row>
    <row r="15" spans="1:5">
      <c r="A15" s="2">
        <v>1013</v>
      </c>
      <c r="B15" s="1"/>
      <c r="C15" s="1"/>
      <c r="D15" s="1"/>
      <c r="E15" s="3"/>
    </row>
    <row r="16" spans="1:5">
      <c r="A16" s="2">
        <v>1014</v>
      </c>
      <c r="B16" s="1"/>
      <c r="C16" s="1"/>
      <c r="D16" s="1"/>
      <c r="E16" s="3"/>
    </row>
    <row r="17" spans="1:5">
      <c r="A17" s="2">
        <v>1015</v>
      </c>
      <c r="B17" s="1"/>
      <c r="C17" s="1"/>
      <c r="D17" s="1"/>
      <c r="E17" s="3"/>
    </row>
    <row r="18" spans="1:5">
      <c r="A18" s="2">
        <v>1016</v>
      </c>
      <c r="B18" s="1"/>
      <c r="C18" s="1"/>
      <c r="D18" s="1"/>
      <c r="E18" s="3"/>
    </row>
    <row r="19" spans="1:5">
      <c r="A19" s="2">
        <v>1017</v>
      </c>
      <c r="B19" s="1"/>
      <c r="C19" s="1"/>
      <c r="D19" s="1"/>
      <c r="E19" s="3"/>
    </row>
    <row r="20" spans="1:5" ht="15" thickBot="1">
      <c r="A20" s="4">
        <v>1018</v>
      </c>
      <c r="B20" s="5"/>
      <c r="C20" s="5"/>
      <c r="D20" s="5"/>
      <c r="E20" s="6"/>
    </row>
  </sheetData>
  <mergeCells count="1">
    <mergeCell ref="A1:E1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workbookViewId="0">
      <selection activeCell="F3" sqref="F3:F20"/>
    </sheetView>
  </sheetViews>
  <sheetFormatPr defaultRowHeight="14.25"/>
  <sheetData>
    <row r="1" spans="1:6" ht="23.25" customHeight="1">
      <c r="A1" s="67" t="s">
        <v>6</v>
      </c>
      <c r="B1" s="68"/>
      <c r="C1" s="68"/>
      <c r="D1" s="68"/>
      <c r="E1" s="68"/>
      <c r="F1" s="69"/>
    </row>
    <row r="2" spans="1:6">
      <c r="A2" s="18" t="s">
        <v>1</v>
      </c>
      <c r="B2" s="19" t="s">
        <v>2</v>
      </c>
      <c r="C2" s="19" t="s">
        <v>4</v>
      </c>
      <c r="D2" s="19" t="s">
        <v>7</v>
      </c>
      <c r="E2" s="19" t="s">
        <v>8</v>
      </c>
      <c r="F2" s="20" t="s">
        <v>9</v>
      </c>
    </row>
    <row r="3" spans="1:6">
      <c r="A3" s="10">
        <v>1003</v>
      </c>
      <c r="B3" s="11"/>
      <c r="C3" s="11"/>
      <c r="D3" s="12"/>
      <c r="E3" s="12"/>
      <c r="F3" s="13"/>
    </row>
    <row r="4" spans="1:6">
      <c r="A4" s="10">
        <v>1008</v>
      </c>
      <c r="B4" s="11"/>
      <c r="C4" s="11"/>
      <c r="D4" s="12"/>
      <c r="E4" s="12"/>
      <c r="F4" s="13"/>
    </row>
    <row r="5" spans="1:6">
      <c r="A5" s="10">
        <v>1011</v>
      </c>
      <c r="B5" s="11"/>
      <c r="C5" s="11"/>
      <c r="D5" s="12"/>
      <c r="E5" s="12"/>
      <c r="F5" s="13"/>
    </row>
    <row r="6" spans="1:6">
      <c r="A6" s="10">
        <v>1016</v>
      </c>
      <c r="B6" s="11"/>
      <c r="C6" s="11"/>
      <c r="D6" s="12"/>
      <c r="E6" s="12"/>
      <c r="F6" s="13"/>
    </row>
    <row r="7" spans="1:6">
      <c r="A7" s="10">
        <v>1001</v>
      </c>
      <c r="B7" s="11"/>
      <c r="C7" s="11"/>
      <c r="D7" s="12"/>
      <c r="E7" s="12"/>
      <c r="F7" s="13"/>
    </row>
    <row r="8" spans="1:6">
      <c r="A8" s="10">
        <v>1006</v>
      </c>
      <c r="B8" s="11"/>
      <c r="C8" s="11"/>
      <c r="D8" s="12"/>
      <c r="E8" s="12"/>
      <c r="F8" s="13"/>
    </row>
    <row r="9" spans="1:6">
      <c r="A9" s="10">
        <v>1014</v>
      </c>
      <c r="B9" s="11"/>
      <c r="C9" s="11"/>
      <c r="D9" s="12"/>
      <c r="E9" s="12"/>
      <c r="F9" s="13"/>
    </row>
    <row r="10" spans="1:6">
      <c r="A10" s="10">
        <v>1004</v>
      </c>
      <c r="B10" s="11"/>
      <c r="C10" s="11"/>
      <c r="D10" s="12"/>
      <c r="E10" s="12"/>
      <c r="F10" s="13"/>
    </row>
    <row r="11" spans="1:6">
      <c r="A11" s="10">
        <v>1009</v>
      </c>
      <c r="B11" s="11"/>
      <c r="C11" s="11"/>
      <c r="D11" s="12"/>
      <c r="E11" s="12"/>
      <c r="F11" s="13"/>
    </row>
    <row r="12" spans="1:6">
      <c r="A12" s="10">
        <v>1012</v>
      </c>
      <c r="B12" s="11"/>
      <c r="C12" s="11"/>
      <c r="D12" s="12"/>
      <c r="E12" s="12"/>
      <c r="F12" s="13"/>
    </row>
    <row r="13" spans="1:6">
      <c r="A13" s="10">
        <v>1017</v>
      </c>
      <c r="B13" s="11"/>
      <c r="C13" s="11"/>
      <c r="D13" s="12"/>
      <c r="E13" s="12"/>
      <c r="F13" s="13"/>
    </row>
    <row r="14" spans="1:6">
      <c r="A14" s="10">
        <v>1002</v>
      </c>
      <c r="B14" s="11"/>
      <c r="C14" s="11"/>
      <c r="D14" s="12"/>
      <c r="E14" s="12"/>
      <c r="F14" s="13"/>
    </row>
    <row r="15" spans="1:6">
      <c r="A15" s="10">
        <v>1007</v>
      </c>
      <c r="B15" s="11"/>
      <c r="C15" s="11"/>
      <c r="D15" s="12"/>
      <c r="E15" s="12"/>
      <c r="F15" s="13"/>
    </row>
    <row r="16" spans="1:6">
      <c r="A16" s="10">
        <v>1015</v>
      </c>
      <c r="B16" s="11"/>
      <c r="C16" s="11"/>
      <c r="D16" s="12"/>
      <c r="E16" s="12"/>
      <c r="F16" s="13"/>
    </row>
    <row r="17" spans="1:6">
      <c r="A17" s="10">
        <v>1005</v>
      </c>
      <c r="B17" s="11"/>
      <c r="C17" s="11"/>
      <c r="D17" s="12"/>
      <c r="E17" s="12"/>
      <c r="F17" s="13"/>
    </row>
    <row r="18" spans="1:6">
      <c r="A18" s="10">
        <v>1010</v>
      </c>
      <c r="B18" s="11"/>
      <c r="C18" s="11"/>
      <c r="D18" s="12"/>
      <c r="E18" s="12"/>
      <c r="F18" s="13"/>
    </row>
    <row r="19" spans="1:6">
      <c r="A19" s="10">
        <v>1013</v>
      </c>
      <c r="B19" s="11"/>
      <c r="C19" s="11"/>
      <c r="D19" s="12"/>
      <c r="E19" s="12"/>
      <c r="F19" s="13"/>
    </row>
    <row r="20" spans="1:6" ht="15" thickBot="1">
      <c r="A20" s="14">
        <v>1018</v>
      </c>
      <c r="B20" s="15"/>
      <c r="C20" s="15"/>
      <c r="D20" s="16"/>
      <c r="E20" s="16"/>
      <c r="F20" s="17"/>
    </row>
  </sheetData>
  <mergeCells count="1">
    <mergeCell ref="A1:F1"/>
  </mergeCells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D3" sqref="D3:D20"/>
    </sheetView>
  </sheetViews>
  <sheetFormatPr defaultRowHeight="14.25"/>
  <cols>
    <col min="1" max="3" width="9.5" bestFit="1" customWidth="1"/>
    <col min="4" max="4" width="7.5" bestFit="1" customWidth="1"/>
  </cols>
  <sheetData>
    <row r="1" spans="1:4" ht="32.25" customHeight="1">
      <c r="A1" s="70" t="s">
        <v>11</v>
      </c>
      <c r="B1" s="71"/>
      <c r="C1" s="71"/>
      <c r="D1" s="72"/>
    </row>
    <row r="2" spans="1:4">
      <c r="A2" s="21" t="s">
        <v>1</v>
      </c>
      <c r="B2" s="22" t="s">
        <v>2</v>
      </c>
      <c r="C2" s="22" t="s">
        <v>4</v>
      </c>
      <c r="D2" s="23" t="s">
        <v>10</v>
      </c>
    </row>
    <row r="3" spans="1:4">
      <c r="A3" s="24">
        <v>1009</v>
      </c>
      <c r="B3" s="25"/>
      <c r="C3" s="25"/>
      <c r="D3" s="26"/>
    </row>
    <row r="4" spans="1:4">
      <c r="A4" s="24">
        <v>1007</v>
      </c>
      <c r="B4" s="25"/>
      <c r="C4" s="25"/>
      <c r="D4" s="26"/>
    </row>
    <row r="5" spans="1:4">
      <c r="A5" s="24">
        <v>1012</v>
      </c>
      <c r="B5" s="25"/>
      <c r="C5" s="25"/>
      <c r="D5" s="26"/>
    </row>
    <row r="6" spans="1:4">
      <c r="A6" s="24">
        <v>1017</v>
      </c>
      <c r="B6" s="25"/>
      <c r="C6" s="25"/>
      <c r="D6" s="26"/>
    </row>
    <row r="7" spans="1:4">
      <c r="A7" s="24">
        <v>1015</v>
      </c>
      <c r="B7" s="25"/>
      <c r="C7" s="25"/>
      <c r="D7" s="26"/>
    </row>
    <row r="8" spans="1:4">
      <c r="A8" s="24">
        <v>1002</v>
      </c>
      <c r="B8" s="25"/>
      <c r="C8" s="25"/>
      <c r="D8" s="26"/>
    </row>
    <row r="9" spans="1:4">
      <c r="A9" s="24">
        <v>1001</v>
      </c>
      <c r="B9" s="25"/>
      <c r="C9" s="25"/>
      <c r="D9" s="26"/>
    </row>
    <row r="10" spans="1:4">
      <c r="A10" s="24">
        <v>1003</v>
      </c>
      <c r="B10" s="25"/>
      <c r="C10" s="25"/>
      <c r="D10" s="26"/>
    </row>
    <row r="11" spans="1:4">
      <c r="A11" s="24">
        <v>1014</v>
      </c>
      <c r="B11" s="25"/>
      <c r="C11" s="25"/>
      <c r="D11" s="26"/>
    </row>
    <row r="12" spans="1:4">
      <c r="A12" s="24">
        <v>1016</v>
      </c>
      <c r="B12" s="25"/>
      <c r="C12" s="25"/>
      <c r="D12" s="26"/>
    </row>
    <row r="13" spans="1:4">
      <c r="A13" s="24">
        <v>1005</v>
      </c>
      <c r="B13" s="25"/>
      <c r="C13" s="25"/>
      <c r="D13" s="26"/>
    </row>
    <row r="14" spans="1:4">
      <c r="A14" s="24">
        <v>1006</v>
      </c>
      <c r="B14" s="25"/>
      <c r="C14" s="25"/>
      <c r="D14" s="26"/>
    </row>
    <row r="15" spans="1:4">
      <c r="A15" s="24">
        <v>1011</v>
      </c>
      <c r="B15" s="25"/>
      <c r="C15" s="25"/>
      <c r="D15" s="26"/>
    </row>
    <row r="16" spans="1:4">
      <c r="A16" s="24">
        <v>1010</v>
      </c>
      <c r="B16" s="25"/>
      <c r="C16" s="25"/>
      <c r="D16" s="26"/>
    </row>
    <row r="17" spans="1:4">
      <c r="A17" s="24">
        <v>1013</v>
      </c>
      <c r="B17" s="25"/>
      <c r="C17" s="25"/>
      <c r="D17" s="26"/>
    </row>
    <row r="18" spans="1:4">
      <c r="A18" s="24">
        <v>1008</v>
      </c>
      <c r="B18" s="25"/>
      <c r="C18" s="25"/>
      <c r="D18" s="26"/>
    </row>
    <row r="19" spans="1:4">
      <c r="A19" s="24">
        <v>1004</v>
      </c>
      <c r="B19" s="25"/>
      <c r="C19" s="25"/>
      <c r="D19" s="26"/>
    </row>
    <row r="20" spans="1:4" ht="15" thickBot="1">
      <c r="A20" s="27">
        <v>1018</v>
      </c>
      <c r="B20" s="28"/>
      <c r="C20" s="28"/>
      <c r="D20" s="29"/>
    </row>
  </sheetData>
  <mergeCells count="1">
    <mergeCell ref="A1:D1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员工工资表</vt:lpstr>
      <vt:lpstr>工资条</vt:lpstr>
      <vt:lpstr>员工工资详情表</vt:lpstr>
      <vt:lpstr>员工出勤统计表</vt:lpstr>
      <vt:lpstr>员工福利表</vt:lpstr>
      <vt:lpstr>员工奖金表</vt:lpstr>
      <vt:lpstr>出勤表</vt:lpstr>
      <vt:lpstr>福利表</vt:lpstr>
      <vt:lpstr>奖金表</vt:lpstr>
    </vt:vector>
  </TitlesOfParts>
  <Company>lei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2005-10-25T06:54:53Z</dcterms:created>
  <dcterms:modified xsi:type="dcterms:W3CDTF">2012-06-27T06:01:33Z</dcterms:modified>
</cp:coreProperties>
</file>