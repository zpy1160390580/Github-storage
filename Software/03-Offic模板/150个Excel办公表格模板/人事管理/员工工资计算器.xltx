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55" yWindow="75" windowWidth="12390" windowHeight="8175" activeTab="2"/>
  </bookViews>
  <sheets>
    <sheet name="员工信息" sheetId="1" r:id="rId1"/>
    <sheet name="工资计算器" sheetId="2" r:id="rId2"/>
    <sheet name="个人工资单" sheetId="3" r:id="rId3"/>
  </sheets>
  <definedNames>
    <definedName name="_xlnm.Print_Area" localSheetId="1">工资计算器!$A$1:$L$28</definedName>
    <definedName name="_xlnm.Print_Area" localSheetId="0">员工信息!$A$1:$N$28</definedName>
  </definedNames>
  <calcPr calcId="145621"/>
</workbook>
</file>

<file path=xl/calcChain.xml><?xml version="1.0" encoding="utf-8"?>
<calcChain xmlns="http://schemas.openxmlformats.org/spreadsheetml/2006/main">
  <c r="D3" i="3" l="1"/>
  <c r="F3" i="3"/>
  <c r="I28" i="2"/>
  <c r="N27" i="1"/>
  <c r="K28" i="1"/>
  <c r="J28" i="2"/>
  <c r="N28" i="1"/>
  <c r="I7" i="2"/>
  <c r="H45" i="3" s="1"/>
  <c r="H5" i="3"/>
  <c r="D39" i="3"/>
  <c r="D27" i="3"/>
  <c r="D15" i="3"/>
  <c r="K7" i="1"/>
  <c r="N7" i="1"/>
  <c r="F46" i="3"/>
  <c r="F45" i="3"/>
  <c r="D45" i="3"/>
  <c r="H44" i="3"/>
  <c r="H43" i="3"/>
  <c r="H42" i="3"/>
  <c r="F42" i="3"/>
  <c r="D42" i="3"/>
  <c r="H41" i="3"/>
  <c r="F41" i="3"/>
  <c r="D41" i="3"/>
  <c r="F39" i="3"/>
  <c r="K5" i="1"/>
  <c r="K6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F34" i="3"/>
  <c r="I6" i="2"/>
  <c r="N6" i="1"/>
  <c r="J6" i="2" s="1"/>
  <c r="H33" i="3"/>
  <c r="F31" i="3"/>
  <c r="F32" i="3"/>
  <c r="D31" i="3"/>
  <c r="D32" i="3"/>
  <c r="F33" i="3"/>
  <c r="D33" i="3"/>
  <c r="D34" i="3"/>
  <c r="F22" i="3"/>
  <c r="I4" i="2"/>
  <c r="J4" i="2" s="1"/>
  <c r="L4" i="2" s="1"/>
  <c r="H11" i="3" s="1"/>
  <c r="K4" i="1"/>
  <c r="N4" i="1"/>
  <c r="I5" i="2"/>
  <c r="N5" i="1"/>
  <c r="J5" i="2"/>
  <c r="H22" i="3" s="1"/>
  <c r="H21" i="3"/>
  <c r="F19" i="3" s="1"/>
  <c r="F20" i="3"/>
  <c r="F21" i="3"/>
  <c r="D19" i="3"/>
  <c r="D21" i="3"/>
  <c r="H9" i="3"/>
  <c r="F7" i="3" s="1"/>
  <c r="F8" i="3"/>
  <c r="D8" i="3"/>
  <c r="F9" i="3"/>
  <c r="D9" i="3"/>
  <c r="F10" i="3"/>
  <c r="H10" i="3" s="1"/>
  <c r="I8" i="2"/>
  <c r="N8" i="1"/>
  <c r="J8" i="2"/>
  <c r="I9" i="2"/>
  <c r="N9" i="1"/>
  <c r="J9" i="2" s="1"/>
  <c r="L9" i="2" s="1"/>
  <c r="I10" i="2"/>
  <c r="N10" i="1"/>
  <c r="J10" i="2"/>
  <c r="I11" i="2"/>
  <c r="N11" i="1"/>
  <c r="J11" i="2" s="1"/>
  <c r="L11" i="2" s="1"/>
  <c r="I12" i="2"/>
  <c r="N12" i="1"/>
  <c r="J12" i="2"/>
  <c r="I13" i="2"/>
  <c r="N13" i="1"/>
  <c r="J13" i="2" s="1"/>
  <c r="L13" i="2" s="1"/>
  <c r="I14" i="2"/>
  <c r="N14" i="1"/>
  <c r="J14" i="2"/>
  <c r="I15" i="2"/>
  <c r="N15" i="1"/>
  <c r="J15" i="2" s="1"/>
  <c r="L15" i="2" s="1"/>
  <c r="I16" i="2"/>
  <c r="N16" i="1"/>
  <c r="J16" i="2"/>
  <c r="I17" i="2"/>
  <c r="N17" i="1"/>
  <c r="J17" i="2" s="1"/>
  <c r="L17" i="2" s="1"/>
  <c r="I18" i="2"/>
  <c r="N18" i="1"/>
  <c r="J18" i="2"/>
  <c r="I19" i="2"/>
  <c r="N19" i="1"/>
  <c r="J19" i="2" s="1"/>
  <c r="L19" i="2" s="1"/>
  <c r="I20" i="2"/>
  <c r="N20" i="1"/>
  <c r="J20" i="2"/>
  <c r="I21" i="2"/>
  <c r="N21" i="1"/>
  <c r="J21" i="2" s="1"/>
  <c r="L21" i="2" s="1"/>
  <c r="I22" i="2"/>
  <c r="N22" i="1"/>
  <c r="J22" i="2"/>
  <c r="I23" i="2"/>
  <c r="N23" i="1"/>
  <c r="J23" i="2" s="1"/>
  <c r="L23" i="2" s="1"/>
  <c r="I24" i="2"/>
  <c r="N24" i="1"/>
  <c r="J24" i="2"/>
  <c r="I25" i="2"/>
  <c r="N25" i="1"/>
  <c r="J25" i="2" s="1"/>
  <c r="L25" i="2" s="1"/>
  <c r="I26" i="2"/>
  <c r="N26" i="1"/>
  <c r="J26" i="2"/>
  <c r="I27" i="2"/>
  <c r="J27" i="2"/>
  <c r="L27" i="2" s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4" i="2"/>
  <c r="H32" i="3"/>
  <c r="H31" i="3"/>
  <c r="H30" i="3"/>
  <c r="F30" i="3"/>
  <c r="D30" i="3"/>
  <c r="H29" i="3"/>
  <c r="F29" i="3"/>
  <c r="D29" i="3"/>
  <c r="F27" i="3"/>
  <c r="L5" i="2"/>
  <c r="H23" i="3" s="1"/>
  <c r="H20" i="3"/>
  <c r="H19" i="3"/>
  <c r="H18" i="3"/>
  <c r="F18" i="3"/>
  <c r="D18" i="3"/>
  <c r="H17" i="3"/>
  <c r="F17" i="3"/>
  <c r="D17" i="3"/>
  <c r="F15" i="3"/>
  <c r="H8" i="3"/>
  <c r="H7" i="3"/>
  <c r="F5" i="3"/>
  <c r="H6" i="3"/>
  <c r="F6" i="3"/>
  <c r="D6" i="3"/>
  <c r="D5" i="3"/>
  <c r="L8" i="2"/>
  <c r="L10" i="2"/>
  <c r="L12" i="2"/>
  <c r="L14" i="2"/>
  <c r="L16" i="2"/>
  <c r="L18" i="2"/>
  <c r="L20" i="2"/>
  <c r="L22" i="2"/>
  <c r="L24" i="2"/>
  <c r="L26" i="2"/>
  <c r="L28" i="2"/>
  <c r="L6" i="2" l="1"/>
  <c r="H35" i="3" s="1"/>
  <c r="H34" i="3"/>
  <c r="F44" i="3"/>
  <c r="D43" i="3"/>
  <c r="F43" i="3"/>
  <c r="D44" i="3"/>
  <c r="D7" i="3"/>
  <c r="D10" i="3" s="1"/>
  <c r="D20" i="3"/>
  <c r="D22" i="3" s="1"/>
  <c r="J7" i="2"/>
  <c r="L7" i="2" s="1"/>
  <c r="H47" i="3" s="1"/>
  <c r="H46" i="3" l="1"/>
  <c r="D46" i="3"/>
</calcChain>
</file>

<file path=xl/sharedStrings.xml><?xml version="1.0" encoding="utf-8"?>
<sst xmlns="http://schemas.openxmlformats.org/spreadsheetml/2006/main" count="120" uniqueCount="50">
  <si>
    <t>员工信息</t>
    <phoneticPr fontId="3" type="noConversion"/>
  </si>
  <si>
    <t>小时工资</t>
  </si>
  <si>
    <t>税务状态</t>
  </si>
  <si>
    <t>政府津贴</t>
  </si>
  <si>
    <t>方建文</t>
    <phoneticPr fontId="3" type="noConversion"/>
  </si>
  <si>
    <r>
      <t>员工</t>
    </r>
    <r>
      <rPr>
        <b/>
        <sz val="9"/>
        <color indexed="9"/>
        <rFont val="Arial"/>
        <family val="2"/>
      </rPr>
      <t xml:space="preserve"> ID</t>
    </r>
    <phoneticPr fontId="3" type="noConversion"/>
  </si>
  <si>
    <t>姓名</t>
    <phoneticPr fontId="3" type="noConversion"/>
  </si>
  <si>
    <t>小时工资</t>
    <phoneticPr fontId="3" type="noConversion"/>
  </si>
  <si>
    <t>税务状态</t>
    <phoneticPr fontId="3" type="noConversion"/>
  </si>
  <si>
    <t>政府津贴</t>
    <phoneticPr fontId="3" type="noConversion"/>
  </si>
  <si>
    <t>常规扣款
（人民币）</t>
    <phoneticPr fontId="3" type="noConversion"/>
  </si>
  <si>
    <t>工资计算器</t>
    <phoneticPr fontId="3" type="noConversion"/>
  </si>
  <si>
    <t>雇员姓名</t>
    <phoneticPr fontId="3" type="noConversion"/>
  </si>
  <si>
    <t>休假
（小时）</t>
    <phoneticPr fontId="3" type="noConversion"/>
  </si>
  <si>
    <t>病假
（小时）</t>
    <phoneticPr fontId="3" type="noConversion"/>
  </si>
  <si>
    <t>加班</t>
    <phoneticPr fontId="3" type="noConversion"/>
  </si>
  <si>
    <t>基本工资</t>
  </si>
  <si>
    <t>基本工资</t>
    <phoneticPr fontId="3" type="noConversion"/>
  </si>
  <si>
    <t>其他扣款</t>
  </si>
  <si>
    <t>其他扣款</t>
    <phoneticPr fontId="3" type="noConversion"/>
  </si>
  <si>
    <t>实发工资</t>
  </si>
  <si>
    <t>实发工资</t>
    <phoneticPr fontId="3" type="noConversion"/>
  </si>
  <si>
    <r>
      <t>结算日期</t>
    </r>
    <r>
      <rPr>
        <b/>
        <sz val="10"/>
        <rFont val="Arial"/>
        <family val="2"/>
      </rPr>
      <t>:</t>
    </r>
    <phoneticPr fontId="3" type="noConversion"/>
  </si>
  <si>
    <r>
      <t>员工</t>
    </r>
    <r>
      <rPr>
        <b/>
        <sz val="10"/>
        <rFont val="Arial"/>
        <family val="2"/>
      </rPr>
      <t xml:space="preserve"> ID</t>
    </r>
    <phoneticPr fontId="3" type="noConversion"/>
  </si>
  <si>
    <t>[公司名称]</t>
  </si>
  <si>
    <t>结算日期:</t>
  </si>
  <si>
    <t>员工姓名</t>
  </si>
  <si>
    <t>员工 ID</t>
  </si>
  <si>
    <t>加班工资</t>
  </si>
  <si>
    <t>病假（小时）</t>
  </si>
  <si>
    <t>休假（小时）</t>
  </si>
  <si>
    <t>加班（小时）</t>
  </si>
  <si>
    <t>实际工时</t>
  </si>
  <si>
    <t>常规扣款</t>
  </si>
  <si>
    <t xml:space="preserve">失业保险 </t>
  </si>
  <si>
    <t>养老保险</t>
  </si>
  <si>
    <t>医疗保险</t>
  </si>
  <si>
    <t>实际工时</t>
    <phoneticPr fontId="3" type="noConversion"/>
  </si>
  <si>
    <t>加班工资</t>
    <phoneticPr fontId="3" type="noConversion"/>
  </si>
  <si>
    <t>住房公积金</t>
    <phoneticPr fontId="3" type="noConversion"/>
  </si>
  <si>
    <t>失业保险
（百分比）</t>
    <phoneticPr fontId="3" type="noConversion"/>
  </si>
  <si>
    <t>住房公积金
（百分比）</t>
    <phoneticPr fontId="3" type="noConversion"/>
  </si>
  <si>
    <t>养老保险
（百分比）</t>
    <phoneticPr fontId="3" type="noConversion"/>
  </si>
  <si>
    <t>医疗保险
（百分比）</t>
    <phoneticPr fontId="3" type="noConversion"/>
  </si>
  <si>
    <t>个人所得税
（人民币）</t>
    <phoneticPr fontId="3" type="noConversion"/>
  </si>
  <si>
    <t>个人所得税</t>
    <phoneticPr fontId="3" type="noConversion"/>
  </si>
  <si>
    <t>总扣款</t>
    <phoneticPr fontId="3" type="noConversion"/>
  </si>
  <si>
    <t>常规款项总额
（不含保险）
（人民币）</t>
    <phoneticPr fontId="3" type="noConversion"/>
  </si>
  <si>
    <t>保险总额
（百分比）</t>
    <phoneticPr fontId="3" type="noConversion"/>
  </si>
  <si>
    <t>常规款项总额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</si>
</sst>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84" formatCode="&quot;$&quot;#,##0.00"/>
    <numFmt numFmtId="188" formatCode=";;"/>
    <numFmt numFmtId="189" formatCode="&quot;￥&quot;#,##0.00"/>
  </numFmts>
  <fonts count="17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2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22"/>
      <name val="宋体"/>
      <family val="3"/>
      <charset val="134"/>
    </font>
    <font>
      <sz val="9"/>
      <name val="宋体"/>
      <family val="3"/>
      <charset val="134"/>
    </font>
    <font>
      <b/>
      <sz val="9"/>
      <color indexed="9"/>
      <name val="宋体"/>
      <family val="3"/>
      <charset val="134"/>
    </font>
    <font>
      <b/>
      <sz val="9"/>
      <color indexed="9"/>
      <name val="Arial"/>
      <family val="2"/>
    </font>
    <font>
      <b/>
      <sz val="1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4"/>
        <bgColor indexed="64"/>
      </patternFill>
    </fill>
  </fills>
  <borders count="44">
    <border>
      <left/>
      <right/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46"/>
      </bottom>
      <diagonal/>
    </border>
    <border>
      <left style="thin">
        <color indexed="61"/>
      </left>
      <right style="thin">
        <color indexed="61"/>
      </right>
      <top style="thin">
        <color indexed="22"/>
      </top>
      <bottom style="thin">
        <color indexed="46"/>
      </bottom>
      <diagonal/>
    </border>
    <border>
      <left style="thin">
        <color indexed="22"/>
      </left>
      <right/>
      <top style="thin">
        <color indexed="46"/>
      </top>
      <bottom style="thin">
        <color indexed="46"/>
      </bottom>
      <diagonal/>
    </border>
    <border>
      <left style="thin">
        <color indexed="61"/>
      </left>
      <right style="thin">
        <color indexed="61"/>
      </right>
      <top style="thin">
        <color indexed="46"/>
      </top>
      <bottom style="thin">
        <color indexed="46"/>
      </bottom>
      <diagonal/>
    </border>
    <border>
      <left style="thin">
        <color indexed="61"/>
      </left>
      <right style="thin">
        <color indexed="61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22"/>
      </right>
      <top style="thin">
        <color indexed="61"/>
      </top>
      <bottom style="thin">
        <color indexed="61"/>
      </bottom>
      <diagonal/>
    </border>
    <border>
      <left style="thin">
        <color indexed="22"/>
      </left>
      <right style="thin">
        <color indexed="22"/>
      </right>
      <top style="thin">
        <color indexed="61"/>
      </top>
      <bottom style="thin">
        <color indexed="61"/>
      </bottom>
      <diagonal/>
    </border>
    <border>
      <left style="thin">
        <color indexed="55"/>
      </left>
      <right style="thin">
        <color indexed="61"/>
      </right>
      <top style="thin">
        <color indexed="61"/>
      </top>
      <bottom style="thin">
        <color indexed="55"/>
      </bottom>
      <diagonal/>
    </border>
    <border>
      <left style="thin">
        <color indexed="61"/>
      </left>
      <right style="thin">
        <color indexed="22"/>
      </right>
      <top style="thin">
        <color indexed="61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61"/>
      </top>
      <bottom style="thin">
        <color indexed="55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double">
        <color indexed="22"/>
      </left>
      <right/>
      <top style="double">
        <color indexed="22"/>
      </top>
      <bottom/>
      <diagonal/>
    </border>
    <border>
      <left/>
      <right/>
      <top style="double">
        <color indexed="22"/>
      </top>
      <bottom/>
      <diagonal/>
    </border>
    <border>
      <left/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/>
      <top/>
      <bottom/>
      <diagonal/>
    </border>
    <border>
      <left/>
      <right style="double">
        <color indexed="22"/>
      </right>
      <top/>
      <bottom/>
      <diagonal/>
    </border>
    <border>
      <left style="double">
        <color indexed="22"/>
      </left>
      <right/>
      <top/>
      <bottom style="double">
        <color indexed="22"/>
      </bottom>
      <diagonal/>
    </border>
    <border>
      <left/>
      <right/>
      <top/>
      <bottom style="double">
        <color indexed="22"/>
      </bottom>
      <diagonal/>
    </border>
    <border>
      <left/>
      <right style="double">
        <color indexed="22"/>
      </right>
      <top/>
      <bottom style="double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46"/>
      </top>
      <bottom style="thin">
        <color indexed="22"/>
      </bottom>
      <diagonal/>
    </border>
    <border>
      <left style="thin">
        <color indexed="61"/>
      </left>
      <right style="thin">
        <color indexed="61"/>
      </right>
      <top style="thin">
        <color indexed="46"/>
      </top>
      <bottom style="thin">
        <color indexed="22"/>
      </bottom>
      <diagonal/>
    </border>
    <border>
      <left style="thin">
        <color indexed="55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 style="thin">
        <color indexed="22"/>
      </right>
      <top/>
      <bottom style="thin">
        <color indexed="61"/>
      </bottom>
      <diagonal/>
    </border>
    <border>
      <left style="thin">
        <color indexed="22"/>
      </left>
      <right style="thin">
        <color indexed="22"/>
      </right>
      <top/>
      <bottom style="thin">
        <color indexed="61"/>
      </bottom>
      <diagonal/>
    </border>
    <border>
      <left style="thin">
        <color indexed="6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 style="thin">
        <color indexed="55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55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55"/>
      </bottom>
      <diagonal/>
    </border>
    <border>
      <left style="thin">
        <color indexed="22"/>
      </left>
      <right style="thin">
        <color indexed="61"/>
      </right>
      <top style="thin">
        <color indexed="61"/>
      </top>
      <bottom style="thin">
        <color indexed="55"/>
      </bottom>
      <diagonal/>
    </border>
    <border>
      <left style="thin">
        <color indexed="61"/>
      </left>
      <right style="thin">
        <color indexed="55"/>
      </right>
      <top style="thin">
        <color indexed="22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10" fontId="4" fillId="3" borderId="2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0" fontId="4" fillId="2" borderId="4" xfId="0" applyNumberFormat="1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0" fontId="4" fillId="3" borderId="4" xfId="0" applyNumberFormat="1" applyFont="1" applyFill="1" applyBorder="1" applyAlignment="1">
      <alignment horizontal="center" vertical="center"/>
    </xf>
    <xf numFmtId="0" fontId="4" fillId="2" borderId="0" xfId="0" applyFont="1" applyFill="1"/>
    <xf numFmtId="10" fontId="4" fillId="4" borderId="5" xfId="0" applyNumberFormat="1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2" fillId="2" borderId="0" xfId="0" applyFont="1" applyFill="1" applyBorder="1" applyAlignment="1">
      <alignment horizontal="left" vertical="center" wrapText="1"/>
    </xf>
    <xf numFmtId="14" fontId="0" fillId="2" borderId="0" xfId="0" applyNumberFormat="1" applyFill="1" applyBorder="1" applyAlignment="1">
      <alignment vertical="center"/>
    </xf>
    <xf numFmtId="0" fontId="0" fillId="2" borderId="0" xfId="0" applyFill="1" applyBorder="1" applyAlignment="1">
      <alignment horizontal="center"/>
    </xf>
    <xf numFmtId="0" fontId="4" fillId="3" borderId="6" xfId="0" applyFont="1" applyFill="1" applyBorder="1" applyAlignment="1">
      <alignment horizontal="center" vertical="center"/>
    </xf>
    <xf numFmtId="188" fontId="4" fillId="3" borderId="7" xfId="0" applyNumberFormat="1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0" fontId="4" fillId="2" borderId="6" xfId="0" applyFont="1" applyFill="1" applyBorder="1" applyAlignment="1">
      <alignment horizontal="center" vertical="center"/>
    </xf>
    <xf numFmtId="188" fontId="4" fillId="2" borderId="7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188" fontId="4" fillId="3" borderId="10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1" fillId="2" borderId="0" xfId="0" applyFont="1" applyFill="1"/>
    <xf numFmtId="0" fontId="8" fillId="2" borderId="0" xfId="0" applyFont="1" applyFill="1"/>
    <xf numFmtId="0" fontId="9" fillId="2" borderId="0" xfId="0" applyFont="1" applyFill="1" applyAlignment="1">
      <alignment vertical="center"/>
    </xf>
    <xf numFmtId="0" fontId="9" fillId="2" borderId="0" xfId="0" applyFont="1" applyFill="1" applyAlignment="1">
      <alignment horizontal="left" vertical="center" indent="1"/>
    </xf>
    <xf numFmtId="0" fontId="4" fillId="5" borderId="12" xfId="0" applyFont="1" applyFill="1" applyBorder="1" applyAlignment="1">
      <alignment horizontal="left" vertical="center" indent="1"/>
    </xf>
    <xf numFmtId="0" fontId="4" fillId="5" borderId="13" xfId="0" applyFont="1" applyFill="1" applyBorder="1" applyAlignment="1">
      <alignment horizontal="left" vertical="center" indent="1"/>
    </xf>
    <xf numFmtId="0" fontId="10" fillId="5" borderId="13" xfId="0" applyFont="1" applyFill="1" applyBorder="1" applyAlignment="1">
      <alignment horizontal="left" vertical="center" indent="1"/>
    </xf>
    <xf numFmtId="0" fontId="4" fillId="2" borderId="12" xfId="0" applyFont="1" applyFill="1" applyBorder="1" applyAlignment="1">
      <alignment horizontal="left" vertical="center" wrapText="1" indent="1"/>
    </xf>
    <xf numFmtId="0" fontId="4" fillId="2" borderId="12" xfId="0" applyFont="1" applyFill="1" applyBorder="1" applyAlignment="1">
      <alignment horizontal="left" vertical="center" indent="1"/>
    </xf>
    <xf numFmtId="0" fontId="4" fillId="2" borderId="13" xfId="0" applyFont="1" applyFill="1" applyBorder="1" applyAlignment="1">
      <alignment horizontal="left" vertical="center" wrapText="1" indent="1"/>
    </xf>
    <xf numFmtId="0" fontId="4" fillId="2" borderId="0" xfId="0" applyFont="1" applyFill="1" applyBorder="1" applyAlignment="1">
      <alignment horizontal="left" vertical="center" wrapText="1"/>
    </xf>
    <xf numFmtId="0" fontId="10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 indent="1"/>
    </xf>
    <xf numFmtId="0" fontId="10" fillId="2" borderId="0" xfId="0" applyFont="1" applyFill="1" applyBorder="1" applyAlignment="1">
      <alignment horizontal="left" vertical="center" indent="1"/>
    </xf>
    <xf numFmtId="0" fontId="4" fillId="2" borderId="13" xfId="0" applyFont="1" applyFill="1" applyBorder="1" applyAlignment="1">
      <alignment horizontal="left" vertical="center" indent="1"/>
    </xf>
    <xf numFmtId="0" fontId="9" fillId="2" borderId="14" xfId="0" applyFont="1" applyFill="1" applyBorder="1" applyAlignment="1">
      <alignment vertical="center"/>
    </xf>
    <xf numFmtId="0" fontId="6" fillId="2" borderId="15" xfId="0" applyFont="1" applyFill="1" applyBorder="1" applyAlignment="1">
      <alignment vertical="center"/>
    </xf>
    <xf numFmtId="0" fontId="9" fillId="2" borderId="15" xfId="0" applyFont="1" applyFill="1" applyBorder="1" applyAlignment="1">
      <alignment vertical="center"/>
    </xf>
    <xf numFmtId="0" fontId="9" fillId="2" borderId="16" xfId="0" applyFont="1" applyFill="1" applyBorder="1" applyAlignment="1">
      <alignment vertical="center"/>
    </xf>
    <xf numFmtId="0" fontId="4" fillId="2" borderId="17" xfId="0" applyFont="1" applyFill="1" applyBorder="1"/>
    <xf numFmtId="0" fontId="10" fillId="2" borderId="18" xfId="0" applyFont="1" applyFill="1" applyBorder="1"/>
    <xf numFmtId="0" fontId="4" fillId="2" borderId="17" xfId="0" applyFont="1" applyFill="1" applyBorder="1" applyAlignment="1">
      <alignment vertical="center"/>
    </xf>
    <xf numFmtId="0" fontId="10" fillId="2" borderId="18" xfId="0" applyFont="1" applyFill="1" applyBorder="1" applyAlignment="1">
      <alignment vertical="center"/>
    </xf>
    <xf numFmtId="184" fontId="10" fillId="2" borderId="18" xfId="0" applyNumberFormat="1" applyFont="1" applyFill="1" applyBorder="1" applyAlignment="1">
      <alignment vertical="center"/>
    </xf>
    <xf numFmtId="0" fontId="8" fillId="2" borderId="19" xfId="0" applyFont="1" applyFill="1" applyBorder="1"/>
    <xf numFmtId="0" fontId="8" fillId="2" borderId="20" xfId="0" applyFont="1" applyFill="1" applyBorder="1" applyAlignment="1">
      <alignment horizontal="left" wrapText="1"/>
    </xf>
    <xf numFmtId="0" fontId="7" fillId="2" borderId="20" xfId="0" applyFont="1" applyFill="1" applyBorder="1" applyAlignment="1">
      <alignment horizontal="left"/>
    </xf>
    <xf numFmtId="0" fontId="7" fillId="2" borderId="21" xfId="0" applyFont="1" applyFill="1" applyBorder="1"/>
    <xf numFmtId="0" fontId="9" fillId="2" borderId="14" xfId="0" applyFont="1" applyFill="1" applyBorder="1" applyAlignment="1">
      <alignment horizontal="left" vertical="center" indent="1"/>
    </xf>
    <xf numFmtId="0" fontId="9" fillId="2" borderId="15" xfId="0" applyFont="1" applyFill="1" applyBorder="1" applyAlignment="1">
      <alignment horizontal="left" vertical="center" indent="1"/>
    </xf>
    <xf numFmtId="0" fontId="9" fillId="2" borderId="16" xfId="0" applyFont="1" applyFill="1" applyBorder="1" applyAlignment="1">
      <alignment horizontal="left" vertical="center" indent="1"/>
    </xf>
    <xf numFmtId="184" fontId="10" fillId="2" borderId="18" xfId="0" applyNumberFormat="1" applyFont="1" applyFill="1" applyBorder="1"/>
    <xf numFmtId="0" fontId="7" fillId="2" borderId="20" xfId="0" applyFont="1" applyFill="1" applyBorder="1"/>
    <xf numFmtId="0" fontId="4" fillId="2" borderId="19" xfId="0" applyFont="1" applyFill="1" applyBorder="1"/>
    <xf numFmtId="0" fontId="4" fillId="2" borderId="20" xfId="0" applyFont="1" applyFill="1" applyBorder="1" applyAlignment="1">
      <alignment horizontal="left" wrapText="1"/>
    </xf>
    <xf numFmtId="0" fontId="10" fillId="2" borderId="20" xfId="0" applyFont="1" applyFill="1" applyBorder="1" applyAlignment="1">
      <alignment horizontal="left"/>
    </xf>
    <xf numFmtId="0" fontId="4" fillId="2" borderId="20" xfId="0" applyFont="1" applyFill="1" applyBorder="1" applyAlignment="1">
      <alignment horizontal="left" wrapText="1" indent="1"/>
    </xf>
    <xf numFmtId="0" fontId="10" fillId="2" borderId="20" xfId="0" applyFont="1" applyFill="1" applyBorder="1"/>
    <xf numFmtId="0" fontId="10" fillId="2" borderId="21" xfId="0" applyFont="1" applyFill="1" applyBorder="1"/>
    <xf numFmtId="0" fontId="10" fillId="2" borderId="22" xfId="0" applyFont="1" applyFill="1" applyBorder="1" applyAlignment="1">
      <alignment horizontal="left" vertical="center"/>
    </xf>
    <xf numFmtId="0" fontId="4" fillId="2" borderId="22" xfId="0" applyFont="1" applyFill="1" applyBorder="1" applyAlignment="1">
      <alignment horizontal="left" vertical="center" wrapText="1"/>
    </xf>
    <xf numFmtId="0" fontId="4" fillId="2" borderId="0" xfId="0" applyFont="1" applyFill="1" applyBorder="1" applyAlignment="1">
      <alignment horizontal="left" vertical="center" wrapText="1" indent="1"/>
    </xf>
    <xf numFmtId="0" fontId="11" fillId="5" borderId="12" xfId="0" applyFont="1" applyFill="1" applyBorder="1" applyAlignment="1">
      <alignment horizontal="left" vertical="center" wrapText="1" indent="1"/>
    </xf>
    <xf numFmtId="14" fontId="10" fillId="4" borderId="13" xfId="0" applyNumberFormat="1" applyFont="1" applyFill="1" applyBorder="1" applyAlignment="1">
      <alignment horizontal="left" vertical="center" indent="1"/>
    </xf>
    <xf numFmtId="14" fontId="10" fillId="2" borderId="0" xfId="0" applyNumberFormat="1" applyFont="1" applyFill="1" applyBorder="1" applyAlignment="1">
      <alignment horizontal="left" vertical="center" indent="1"/>
    </xf>
    <xf numFmtId="0" fontId="10" fillId="4" borderId="13" xfId="0" applyFont="1" applyFill="1" applyBorder="1" applyAlignment="1">
      <alignment horizontal="left" vertical="center" indent="1"/>
    </xf>
    <xf numFmtId="0" fontId="10" fillId="4" borderId="13" xfId="0" applyFont="1" applyFill="1" applyBorder="1" applyAlignment="1">
      <alignment horizontal="left" vertical="center" wrapText="1" indent="1"/>
    </xf>
    <xf numFmtId="0" fontId="10" fillId="2" borderId="0" xfId="0" applyFont="1" applyFill="1" applyBorder="1" applyAlignment="1">
      <alignment horizontal="left" vertical="center" wrapText="1" indent="1"/>
    </xf>
    <xf numFmtId="0" fontId="10" fillId="2" borderId="23" xfId="0" applyFont="1" applyFill="1" applyBorder="1" applyAlignment="1">
      <alignment horizontal="left" vertical="center" indent="1"/>
    </xf>
    <xf numFmtId="0" fontId="10" fillId="4" borderId="23" xfId="0" applyFont="1" applyFill="1" applyBorder="1" applyAlignment="1">
      <alignment horizontal="left" vertical="center" indent="1"/>
    </xf>
    <xf numFmtId="10" fontId="4" fillId="0" borderId="0" xfId="0" applyNumberFormat="1" applyFont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10" fontId="4" fillId="3" borderId="25" xfId="0" applyNumberFormat="1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188" fontId="4" fillId="3" borderId="27" xfId="0" applyNumberFormat="1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189" fontId="4" fillId="3" borderId="2" xfId="0" applyNumberFormat="1" applyFont="1" applyFill="1" applyBorder="1" applyAlignment="1">
      <alignment horizontal="center" vertical="center"/>
    </xf>
    <xf numFmtId="189" fontId="4" fillId="2" borderId="4" xfId="0" applyNumberFormat="1" applyFont="1" applyFill="1" applyBorder="1" applyAlignment="1">
      <alignment horizontal="center" vertical="center"/>
    </xf>
    <xf numFmtId="189" fontId="4" fillId="3" borderId="4" xfId="0" applyNumberFormat="1" applyFont="1" applyFill="1" applyBorder="1" applyAlignment="1">
      <alignment horizontal="center" vertical="center"/>
    </xf>
    <xf numFmtId="189" fontId="4" fillId="3" borderId="25" xfId="0" applyNumberFormat="1" applyFont="1" applyFill="1" applyBorder="1" applyAlignment="1">
      <alignment horizontal="center" vertical="center"/>
    </xf>
    <xf numFmtId="189" fontId="4" fillId="4" borderId="29" xfId="0" applyNumberFormat="1" applyFont="1" applyFill="1" applyBorder="1" applyAlignment="1">
      <alignment horizontal="center" vertical="center"/>
    </xf>
    <xf numFmtId="0" fontId="14" fillId="6" borderId="30" xfId="0" applyFont="1" applyFill="1" applyBorder="1" applyAlignment="1">
      <alignment horizontal="center" vertical="center" wrapText="1"/>
    </xf>
    <xf numFmtId="0" fontId="14" fillId="6" borderId="31" xfId="0" applyFont="1" applyFill="1" applyBorder="1" applyAlignment="1">
      <alignment horizontal="center" vertical="center" wrapText="1"/>
    </xf>
    <xf numFmtId="10" fontId="14" fillId="6" borderId="31" xfId="0" applyNumberFormat="1" applyFont="1" applyFill="1" applyBorder="1" applyAlignment="1">
      <alignment horizontal="center" vertical="center" wrapText="1"/>
    </xf>
    <xf numFmtId="0" fontId="14" fillId="6" borderId="32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left" vertical="center"/>
    </xf>
    <xf numFmtId="189" fontId="4" fillId="4" borderId="31" xfId="0" applyNumberFormat="1" applyFont="1" applyFill="1" applyBorder="1" applyAlignment="1">
      <alignment horizontal="center" vertical="center"/>
    </xf>
    <xf numFmtId="189" fontId="4" fillId="3" borderId="33" xfId="0" applyNumberFormat="1" applyFont="1" applyFill="1" applyBorder="1" applyAlignment="1">
      <alignment horizontal="center" vertical="center"/>
    </xf>
    <xf numFmtId="189" fontId="4" fillId="4" borderId="34" xfId="0" applyNumberFormat="1" applyFont="1" applyFill="1" applyBorder="1" applyAlignment="1">
      <alignment horizontal="center" vertical="center"/>
    </xf>
    <xf numFmtId="189" fontId="4" fillId="4" borderId="35" xfId="0" applyNumberFormat="1" applyFont="1" applyFill="1" applyBorder="1" applyAlignment="1">
      <alignment horizontal="center" vertical="center"/>
    </xf>
    <xf numFmtId="189" fontId="4" fillId="2" borderId="36" xfId="0" applyNumberFormat="1" applyFont="1" applyFill="1" applyBorder="1" applyAlignment="1">
      <alignment horizontal="center" vertical="center"/>
    </xf>
    <xf numFmtId="189" fontId="4" fillId="4" borderId="37" xfId="0" applyNumberFormat="1" applyFont="1" applyFill="1" applyBorder="1" applyAlignment="1">
      <alignment horizontal="center" vertical="center"/>
    </xf>
    <xf numFmtId="189" fontId="4" fillId="3" borderId="36" xfId="0" applyNumberFormat="1" applyFont="1" applyFill="1" applyBorder="1" applyAlignment="1">
      <alignment horizontal="center" vertical="center"/>
    </xf>
    <xf numFmtId="189" fontId="4" fillId="4" borderId="38" xfId="0" applyNumberFormat="1" applyFont="1" applyFill="1" applyBorder="1" applyAlignment="1">
      <alignment horizontal="center" vertical="center"/>
    </xf>
    <xf numFmtId="189" fontId="4" fillId="3" borderId="39" xfId="0" applyNumberFormat="1" applyFont="1" applyFill="1" applyBorder="1" applyAlignment="1">
      <alignment horizontal="center" vertical="center"/>
    </xf>
    <xf numFmtId="189" fontId="4" fillId="4" borderId="4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vertical="center"/>
    </xf>
    <xf numFmtId="0" fontId="16" fillId="5" borderId="41" xfId="0" applyFont="1" applyFill="1" applyBorder="1" applyAlignment="1">
      <alignment horizontal="center" vertical="center" wrapText="1"/>
    </xf>
    <xf numFmtId="0" fontId="16" fillId="5" borderId="42" xfId="0" applyFont="1" applyFill="1" applyBorder="1" applyAlignment="1">
      <alignment horizontal="center" vertical="center" wrapText="1"/>
    </xf>
    <xf numFmtId="0" fontId="16" fillId="5" borderId="43" xfId="0" applyFont="1" applyFill="1" applyBorder="1" applyAlignment="1">
      <alignment horizontal="center" vertical="center" wrapText="1"/>
    </xf>
    <xf numFmtId="189" fontId="10" fillId="4" borderId="13" xfId="0" applyNumberFormat="1" applyFont="1" applyFill="1" applyBorder="1" applyAlignment="1">
      <alignment horizontal="left" vertical="center" indent="1"/>
    </xf>
    <xf numFmtId="189" fontId="10" fillId="4" borderId="23" xfId="0" applyNumberFormat="1" applyFont="1" applyFill="1" applyBorder="1" applyAlignment="1">
      <alignment horizontal="left" vertical="center" indent="1"/>
    </xf>
    <xf numFmtId="0" fontId="13" fillId="2" borderId="13" xfId="0" applyFont="1" applyFill="1" applyBorder="1" applyAlignment="1">
      <alignment horizontal="left" vertical="center" wrapText="1" indent="1"/>
    </xf>
    <xf numFmtId="0" fontId="13" fillId="2" borderId="12" xfId="0" applyFont="1" applyFill="1" applyBorder="1" applyAlignment="1">
      <alignment horizontal="left" vertical="center" wrapText="1" indent="1"/>
    </xf>
    <xf numFmtId="0" fontId="12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F8EED8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3CBCB"/>
      <rgbColor rgb="00777777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F0DAB2"/>
      <rgbColor rgb="00F8EED8"/>
      <rgbColor rgb="0099CCFF"/>
      <rgbColor rgb="00FCF9EC"/>
      <rgbColor rgb="00EAEAEA"/>
      <rgbColor rgb="00FBF8EB"/>
      <rgbColor rgb="00C3D2E5"/>
      <rgbColor rgb="0033CCCC"/>
      <rgbColor rgb="0099CC00"/>
      <rgbColor rgb="00FFCC00"/>
      <rgbColor rgb="00FF9900"/>
      <rgbColor rgb="00FF6600"/>
      <rgbColor rgb="004B6B85"/>
      <rgbColor rgb="00757A8B"/>
      <rgbColor rgb="00003366"/>
      <rgbColor rgb="00339966"/>
      <rgbColor rgb="00003300"/>
      <rgbColor rgb="00333300"/>
      <rgbColor rgb="00993300"/>
      <rgbColor rgb="00DDDDDD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54"/>
    <pageSetUpPr fitToPage="1"/>
  </sheetPr>
  <dimension ref="B2:N28"/>
  <sheetViews>
    <sheetView zoomScaleNormal="100" workbookViewId="0">
      <pane xSplit="3" ySplit="3" topLeftCell="D4" activePane="bottomRight" state="frozenSplit"/>
      <selection activeCell="H5" sqref="H5"/>
      <selection pane="topRight" activeCell="H5" sqref="H5"/>
      <selection pane="bottomLeft" activeCell="H5" sqref="H5"/>
      <selection pane="bottomRight" activeCell="A3" sqref="A3"/>
    </sheetView>
  </sheetViews>
  <sheetFormatPr defaultRowHeight="12.75" x14ac:dyDescent="0.2"/>
  <cols>
    <col min="1" max="1" width="2.42578125" style="1" customWidth="1"/>
    <col min="2" max="2" width="11" style="3" customWidth="1"/>
    <col min="3" max="3" width="14.5703125" style="3" bestFit="1" customWidth="1"/>
    <col min="4" max="5" width="9.140625" style="3" customWidth="1"/>
    <col min="6" max="6" width="13.28515625" style="3" customWidth="1"/>
    <col min="7" max="7" width="12.42578125" style="3" customWidth="1"/>
    <col min="8" max="8" width="18.85546875" style="3" customWidth="1"/>
    <col min="9" max="9" width="13.7109375" style="3" customWidth="1"/>
    <col min="10" max="11" width="13" style="3" customWidth="1"/>
    <col min="12" max="12" width="13.5703125" style="3" customWidth="1"/>
    <col min="13" max="13" width="12.42578125" style="3" customWidth="1"/>
    <col min="14" max="14" width="18.42578125" style="3" customWidth="1"/>
    <col min="15" max="15" width="12" style="1" customWidth="1"/>
    <col min="16" max="16384" width="9.140625" style="1"/>
  </cols>
  <sheetData>
    <row r="2" spans="2:14" s="2" customFormat="1" ht="48" customHeight="1" x14ac:dyDescent="0.2">
      <c r="B2" s="122" t="s">
        <v>0</v>
      </c>
      <c r="C2" s="123"/>
      <c r="D2" s="123"/>
      <c r="E2" s="123"/>
      <c r="F2" s="123"/>
      <c r="G2" s="123"/>
      <c r="H2" s="123"/>
      <c r="I2" s="123"/>
      <c r="J2" s="123"/>
      <c r="K2" s="123"/>
      <c r="L2" s="5"/>
      <c r="M2" s="5"/>
      <c r="N2" s="5"/>
    </row>
    <row r="3" spans="2:14" s="6" customFormat="1" ht="33.75" x14ac:dyDescent="0.2">
      <c r="B3" s="99" t="s">
        <v>5</v>
      </c>
      <c r="C3" s="100" t="s">
        <v>6</v>
      </c>
      <c r="D3" s="100" t="s">
        <v>7</v>
      </c>
      <c r="E3" s="100" t="s">
        <v>8</v>
      </c>
      <c r="F3" s="100" t="s">
        <v>9</v>
      </c>
      <c r="G3" s="101" t="s">
        <v>40</v>
      </c>
      <c r="H3" s="100" t="s">
        <v>41</v>
      </c>
      <c r="I3" s="100" t="s">
        <v>42</v>
      </c>
      <c r="J3" s="100" t="s">
        <v>43</v>
      </c>
      <c r="K3" s="100" t="s">
        <v>48</v>
      </c>
      <c r="L3" s="100" t="s">
        <v>44</v>
      </c>
      <c r="M3" s="100" t="s">
        <v>10</v>
      </c>
      <c r="N3" s="102" t="s">
        <v>47</v>
      </c>
    </row>
    <row r="4" spans="2:14" s="4" customFormat="1" ht="18.95" customHeight="1" x14ac:dyDescent="0.2">
      <c r="B4" s="7">
        <v>1</v>
      </c>
      <c r="C4" s="93" t="s">
        <v>4</v>
      </c>
      <c r="D4" s="94">
        <v>10</v>
      </c>
      <c r="E4" s="8">
        <v>1</v>
      </c>
      <c r="F4" s="8">
        <v>4</v>
      </c>
      <c r="G4" s="9">
        <v>2.3E-2</v>
      </c>
      <c r="H4" s="9">
        <v>0.28000000000000003</v>
      </c>
      <c r="I4" s="9">
        <v>6.3E-2</v>
      </c>
      <c r="J4" s="9">
        <v>1.4500000000000001E-2</v>
      </c>
      <c r="K4" s="17">
        <f>SUM(G4:J4)</f>
        <v>0.38050000000000006</v>
      </c>
      <c r="L4" s="94">
        <v>20</v>
      </c>
      <c r="M4" s="94">
        <v>40</v>
      </c>
      <c r="N4" s="98">
        <f>L4+M4</f>
        <v>60</v>
      </c>
    </row>
    <row r="5" spans="2:14" s="4" customFormat="1" ht="18.95" customHeight="1" x14ac:dyDescent="0.2">
      <c r="B5" s="10">
        <v>2</v>
      </c>
      <c r="C5" s="11"/>
      <c r="D5" s="95"/>
      <c r="E5" s="11"/>
      <c r="F5" s="11"/>
      <c r="G5" s="86"/>
      <c r="H5" s="12"/>
      <c r="I5" s="12"/>
      <c r="J5" s="12"/>
      <c r="K5" s="17">
        <f t="shared" ref="K5:K28" si="0">SUM(G5:J5)</f>
        <v>0</v>
      </c>
      <c r="L5" s="95"/>
      <c r="M5" s="95"/>
      <c r="N5" s="98">
        <f>L5+M5</f>
        <v>0</v>
      </c>
    </row>
    <row r="6" spans="2:14" s="4" customFormat="1" ht="18.95" customHeight="1" x14ac:dyDescent="0.2">
      <c r="B6" s="13">
        <v>3</v>
      </c>
      <c r="C6" s="14"/>
      <c r="D6" s="96"/>
      <c r="E6" s="14"/>
      <c r="F6" s="14"/>
      <c r="G6" s="15"/>
      <c r="H6" s="15"/>
      <c r="I6" s="15"/>
      <c r="J6" s="15"/>
      <c r="K6" s="17">
        <f t="shared" si="0"/>
        <v>0</v>
      </c>
      <c r="L6" s="96"/>
      <c r="M6" s="96"/>
      <c r="N6" s="98">
        <f t="shared" ref="N6:N28" si="1">L6+M6</f>
        <v>0</v>
      </c>
    </row>
    <row r="7" spans="2:14" s="4" customFormat="1" ht="18.95" customHeight="1" x14ac:dyDescent="0.2">
      <c r="B7" s="10">
        <v>4</v>
      </c>
      <c r="C7" s="11"/>
      <c r="D7" s="95"/>
      <c r="E7" s="11"/>
      <c r="F7" s="11"/>
      <c r="G7" s="12"/>
      <c r="H7" s="12"/>
      <c r="I7" s="12"/>
      <c r="J7" s="12"/>
      <c r="K7" s="17">
        <f t="shared" si="0"/>
        <v>0</v>
      </c>
      <c r="L7" s="95"/>
      <c r="M7" s="95"/>
      <c r="N7" s="98">
        <f t="shared" si="1"/>
        <v>0</v>
      </c>
    </row>
    <row r="8" spans="2:14" s="4" customFormat="1" ht="18.95" customHeight="1" x14ac:dyDescent="0.2">
      <c r="B8" s="13">
        <v>5</v>
      </c>
      <c r="C8" s="14"/>
      <c r="D8" s="96"/>
      <c r="E8" s="14"/>
      <c r="F8" s="14"/>
      <c r="G8" s="15"/>
      <c r="H8" s="15"/>
      <c r="I8" s="15"/>
      <c r="J8" s="15"/>
      <c r="K8" s="17">
        <f t="shared" si="0"/>
        <v>0</v>
      </c>
      <c r="L8" s="96"/>
      <c r="M8" s="96"/>
      <c r="N8" s="98">
        <f>L8+M8</f>
        <v>0</v>
      </c>
    </row>
    <row r="9" spans="2:14" s="4" customFormat="1" ht="18.95" customHeight="1" x14ac:dyDescent="0.2">
      <c r="B9" s="10">
        <v>6</v>
      </c>
      <c r="C9" s="11"/>
      <c r="D9" s="95"/>
      <c r="E9" s="11"/>
      <c r="F9" s="11"/>
      <c r="G9" s="12"/>
      <c r="H9" s="12"/>
      <c r="I9" s="12"/>
      <c r="J9" s="12"/>
      <c r="K9" s="17">
        <f t="shared" si="0"/>
        <v>0</v>
      </c>
      <c r="L9" s="95"/>
      <c r="M9" s="95"/>
      <c r="N9" s="98">
        <f t="shared" si="1"/>
        <v>0</v>
      </c>
    </row>
    <row r="10" spans="2:14" s="4" customFormat="1" ht="18.95" customHeight="1" x14ac:dyDescent="0.2">
      <c r="B10" s="13">
        <v>7</v>
      </c>
      <c r="C10" s="14"/>
      <c r="D10" s="96"/>
      <c r="E10" s="14"/>
      <c r="F10" s="14"/>
      <c r="G10" s="15"/>
      <c r="H10" s="15"/>
      <c r="I10" s="15"/>
      <c r="J10" s="15"/>
      <c r="K10" s="17">
        <f t="shared" si="0"/>
        <v>0</v>
      </c>
      <c r="L10" s="96"/>
      <c r="M10" s="96"/>
      <c r="N10" s="98">
        <f t="shared" si="1"/>
        <v>0</v>
      </c>
    </row>
    <row r="11" spans="2:14" s="4" customFormat="1" ht="18.95" customHeight="1" x14ac:dyDescent="0.2">
      <c r="B11" s="10">
        <v>8</v>
      </c>
      <c r="C11" s="11"/>
      <c r="D11" s="95"/>
      <c r="E11" s="11"/>
      <c r="F11" s="11"/>
      <c r="G11" s="12"/>
      <c r="H11" s="12"/>
      <c r="I11" s="12"/>
      <c r="J11" s="12"/>
      <c r="K11" s="17">
        <f t="shared" si="0"/>
        <v>0</v>
      </c>
      <c r="L11" s="95"/>
      <c r="M11" s="95"/>
      <c r="N11" s="98">
        <f t="shared" si="1"/>
        <v>0</v>
      </c>
    </row>
    <row r="12" spans="2:14" s="4" customFormat="1" ht="18.95" customHeight="1" x14ac:dyDescent="0.2">
      <c r="B12" s="13">
        <v>9</v>
      </c>
      <c r="C12" s="14"/>
      <c r="D12" s="96"/>
      <c r="E12" s="14"/>
      <c r="F12" s="14"/>
      <c r="G12" s="15"/>
      <c r="H12" s="15"/>
      <c r="I12" s="15"/>
      <c r="J12" s="15"/>
      <c r="K12" s="17">
        <f t="shared" si="0"/>
        <v>0</v>
      </c>
      <c r="L12" s="96"/>
      <c r="M12" s="96"/>
      <c r="N12" s="98">
        <f t="shared" si="1"/>
        <v>0</v>
      </c>
    </row>
    <row r="13" spans="2:14" s="4" customFormat="1" ht="18.95" customHeight="1" x14ac:dyDescent="0.2">
      <c r="B13" s="10">
        <v>10</v>
      </c>
      <c r="C13" s="11"/>
      <c r="D13" s="95"/>
      <c r="E13" s="11"/>
      <c r="F13" s="11"/>
      <c r="G13" s="12"/>
      <c r="H13" s="12"/>
      <c r="I13" s="12"/>
      <c r="J13" s="12"/>
      <c r="K13" s="17">
        <f t="shared" si="0"/>
        <v>0</v>
      </c>
      <c r="L13" s="95"/>
      <c r="M13" s="95"/>
      <c r="N13" s="98">
        <f t="shared" si="1"/>
        <v>0</v>
      </c>
    </row>
    <row r="14" spans="2:14" s="4" customFormat="1" ht="18.95" customHeight="1" x14ac:dyDescent="0.2">
      <c r="B14" s="13">
        <v>11</v>
      </c>
      <c r="C14" s="14"/>
      <c r="D14" s="96"/>
      <c r="E14" s="14"/>
      <c r="F14" s="14"/>
      <c r="G14" s="15"/>
      <c r="H14" s="15"/>
      <c r="I14" s="15"/>
      <c r="J14" s="15"/>
      <c r="K14" s="17">
        <f t="shared" si="0"/>
        <v>0</v>
      </c>
      <c r="L14" s="96"/>
      <c r="M14" s="96"/>
      <c r="N14" s="98">
        <f t="shared" si="1"/>
        <v>0</v>
      </c>
    </row>
    <row r="15" spans="2:14" s="4" customFormat="1" ht="18.95" customHeight="1" x14ac:dyDescent="0.2">
      <c r="B15" s="10">
        <v>12</v>
      </c>
      <c r="C15" s="11"/>
      <c r="D15" s="95"/>
      <c r="E15" s="11"/>
      <c r="F15" s="11"/>
      <c r="G15" s="12"/>
      <c r="H15" s="12"/>
      <c r="I15" s="12"/>
      <c r="J15" s="12"/>
      <c r="K15" s="17">
        <f t="shared" si="0"/>
        <v>0</v>
      </c>
      <c r="L15" s="95"/>
      <c r="M15" s="95"/>
      <c r="N15" s="98">
        <f t="shared" si="1"/>
        <v>0</v>
      </c>
    </row>
    <row r="16" spans="2:14" s="4" customFormat="1" ht="18.95" customHeight="1" x14ac:dyDescent="0.2">
      <c r="B16" s="13">
        <v>13</v>
      </c>
      <c r="C16" s="14"/>
      <c r="D16" s="96"/>
      <c r="E16" s="14"/>
      <c r="F16" s="14"/>
      <c r="G16" s="15"/>
      <c r="H16" s="15"/>
      <c r="I16" s="15"/>
      <c r="J16" s="15"/>
      <c r="K16" s="17">
        <f t="shared" si="0"/>
        <v>0</v>
      </c>
      <c r="L16" s="96"/>
      <c r="M16" s="96"/>
      <c r="N16" s="98">
        <f t="shared" si="1"/>
        <v>0</v>
      </c>
    </row>
    <row r="17" spans="2:14" s="4" customFormat="1" ht="18.95" customHeight="1" x14ac:dyDescent="0.2">
      <c r="B17" s="10">
        <v>14</v>
      </c>
      <c r="C17" s="11"/>
      <c r="D17" s="95"/>
      <c r="E17" s="11"/>
      <c r="F17" s="11"/>
      <c r="G17" s="12"/>
      <c r="H17" s="12"/>
      <c r="I17" s="12"/>
      <c r="J17" s="12"/>
      <c r="K17" s="17">
        <f t="shared" si="0"/>
        <v>0</v>
      </c>
      <c r="L17" s="95"/>
      <c r="M17" s="95"/>
      <c r="N17" s="98">
        <f t="shared" si="1"/>
        <v>0</v>
      </c>
    </row>
    <row r="18" spans="2:14" s="4" customFormat="1" ht="18.95" customHeight="1" x14ac:dyDescent="0.2">
      <c r="B18" s="13">
        <v>15</v>
      </c>
      <c r="C18" s="14"/>
      <c r="D18" s="96"/>
      <c r="E18" s="14"/>
      <c r="F18" s="14"/>
      <c r="G18" s="15"/>
      <c r="H18" s="15"/>
      <c r="I18" s="15"/>
      <c r="J18" s="15"/>
      <c r="K18" s="17">
        <f t="shared" si="0"/>
        <v>0</v>
      </c>
      <c r="L18" s="96"/>
      <c r="M18" s="96"/>
      <c r="N18" s="98">
        <f t="shared" si="1"/>
        <v>0</v>
      </c>
    </row>
    <row r="19" spans="2:14" s="4" customFormat="1" ht="18.95" customHeight="1" x14ac:dyDescent="0.2">
      <c r="B19" s="10">
        <v>16</v>
      </c>
      <c r="C19" s="11"/>
      <c r="D19" s="95"/>
      <c r="E19" s="11"/>
      <c r="F19" s="11"/>
      <c r="G19" s="12"/>
      <c r="H19" s="12"/>
      <c r="I19" s="12"/>
      <c r="J19" s="12"/>
      <c r="K19" s="17">
        <f t="shared" si="0"/>
        <v>0</v>
      </c>
      <c r="L19" s="95"/>
      <c r="M19" s="95"/>
      <c r="N19" s="98">
        <f t="shared" si="1"/>
        <v>0</v>
      </c>
    </row>
    <row r="20" spans="2:14" s="4" customFormat="1" ht="18.95" customHeight="1" x14ac:dyDescent="0.2">
      <c r="B20" s="13">
        <v>17</v>
      </c>
      <c r="C20" s="14"/>
      <c r="D20" s="96"/>
      <c r="E20" s="14"/>
      <c r="F20" s="14"/>
      <c r="G20" s="15"/>
      <c r="H20" s="15"/>
      <c r="I20" s="15"/>
      <c r="J20" s="15"/>
      <c r="K20" s="17">
        <f t="shared" si="0"/>
        <v>0</v>
      </c>
      <c r="L20" s="96"/>
      <c r="M20" s="96"/>
      <c r="N20" s="98">
        <f t="shared" si="1"/>
        <v>0</v>
      </c>
    </row>
    <row r="21" spans="2:14" s="4" customFormat="1" ht="18.95" customHeight="1" x14ac:dyDescent="0.2">
      <c r="B21" s="10">
        <v>18</v>
      </c>
      <c r="C21" s="11"/>
      <c r="D21" s="95"/>
      <c r="E21" s="11"/>
      <c r="F21" s="11"/>
      <c r="G21" s="12"/>
      <c r="H21" s="12"/>
      <c r="I21" s="12"/>
      <c r="J21" s="12"/>
      <c r="K21" s="17">
        <f t="shared" si="0"/>
        <v>0</v>
      </c>
      <c r="L21" s="95"/>
      <c r="M21" s="95"/>
      <c r="N21" s="98">
        <f t="shared" si="1"/>
        <v>0</v>
      </c>
    </row>
    <row r="22" spans="2:14" s="4" customFormat="1" ht="18.95" customHeight="1" x14ac:dyDescent="0.2">
      <c r="B22" s="13">
        <v>19</v>
      </c>
      <c r="C22" s="14"/>
      <c r="D22" s="96"/>
      <c r="E22" s="14"/>
      <c r="F22" s="14"/>
      <c r="G22" s="15"/>
      <c r="H22" s="15"/>
      <c r="I22" s="15"/>
      <c r="J22" s="15"/>
      <c r="K22" s="17">
        <f t="shared" si="0"/>
        <v>0</v>
      </c>
      <c r="L22" s="96"/>
      <c r="M22" s="96"/>
      <c r="N22" s="98">
        <f t="shared" si="1"/>
        <v>0</v>
      </c>
    </row>
    <row r="23" spans="2:14" s="4" customFormat="1" ht="18.95" customHeight="1" x14ac:dyDescent="0.2">
      <c r="B23" s="10">
        <v>20</v>
      </c>
      <c r="C23" s="11"/>
      <c r="D23" s="95"/>
      <c r="E23" s="11"/>
      <c r="F23" s="11"/>
      <c r="G23" s="12"/>
      <c r="H23" s="12"/>
      <c r="I23" s="12"/>
      <c r="J23" s="12"/>
      <c r="K23" s="17">
        <f t="shared" si="0"/>
        <v>0</v>
      </c>
      <c r="L23" s="95"/>
      <c r="M23" s="95"/>
      <c r="N23" s="98">
        <f t="shared" si="1"/>
        <v>0</v>
      </c>
    </row>
    <row r="24" spans="2:14" s="4" customFormat="1" ht="18.95" customHeight="1" x14ac:dyDescent="0.2">
      <c r="B24" s="13">
        <v>21</v>
      </c>
      <c r="C24" s="14"/>
      <c r="D24" s="96"/>
      <c r="E24" s="14"/>
      <c r="F24" s="14"/>
      <c r="G24" s="15"/>
      <c r="H24" s="15"/>
      <c r="I24" s="15"/>
      <c r="J24" s="15"/>
      <c r="K24" s="17">
        <f t="shared" si="0"/>
        <v>0</v>
      </c>
      <c r="L24" s="96"/>
      <c r="M24" s="96"/>
      <c r="N24" s="98">
        <f t="shared" si="1"/>
        <v>0</v>
      </c>
    </row>
    <row r="25" spans="2:14" s="4" customFormat="1" ht="18.95" customHeight="1" x14ac:dyDescent="0.2">
      <c r="B25" s="10">
        <v>22</v>
      </c>
      <c r="C25" s="11"/>
      <c r="D25" s="95"/>
      <c r="E25" s="11"/>
      <c r="F25" s="11"/>
      <c r="G25" s="12"/>
      <c r="H25" s="12"/>
      <c r="I25" s="12"/>
      <c r="J25" s="12"/>
      <c r="K25" s="17">
        <f t="shared" si="0"/>
        <v>0</v>
      </c>
      <c r="L25" s="95"/>
      <c r="M25" s="95"/>
      <c r="N25" s="98">
        <f t="shared" si="1"/>
        <v>0</v>
      </c>
    </row>
    <row r="26" spans="2:14" s="4" customFormat="1" ht="18.95" customHeight="1" x14ac:dyDescent="0.2">
      <c r="B26" s="13">
        <v>23</v>
      </c>
      <c r="C26" s="14"/>
      <c r="D26" s="96"/>
      <c r="E26" s="14"/>
      <c r="F26" s="14"/>
      <c r="G26" s="15"/>
      <c r="H26" s="15"/>
      <c r="I26" s="15"/>
      <c r="J26" s="15"/>
      <c r="K26" s="17">
        <f t="shared" si="0"/>
        <v>0</v>
      </c>
      <c r="L26" s="96"/>
      <c r="M26" s="96"/>
      <c r="N26" s="98">
        <f t="shared" si="1"/>
        <v>0</v>
      </c>
    </row>
    <row r="27" spans="2:14" s="4" customFormat="1" ht="18.95" customHeight="1" x14ac:dyDescent="0.2">
      <c r="B27" s="10">
        <v>24</v>
      </c>
      <c r="C27" s="11"/>
      <c r="D27" s="95"/>
      <c r="E27" s="11"/>
      <c r="F27" s="11"/>
      <c r="G27" s="12"/>
      <c r="H27" s="12"/>
      <c r="I27" s="12"/>
      <c r="J27" s="12"/>
      <c r="K27" s="17">
        <f t="shared" si="0"/>
        <v>0</v>
      </c>
      <c r="L27" s="95"/>
      <c r="M27" s="95"/>
      <c r="N27" s="98">
        <f t="shared" si="1"/>
        <v>0</v>
      </c>
    </row>
    <row r="28" spans="2:14" s="4" customFormat="1" ht="18.95" customHeight="1" x14ac:dyDescent="0.2">
      <c r="B28" s="87">
        <v>25</v>
      </c>
      <c r="C28" s="88"/>
      <c r="D28" s="97"/>
      <c r="E28" s="88"/>
      <c r="F28" s="88"/>
      <c r="G28" s="89"/>
      <c r="H28" s="89"/>
      <c r="I28" s="89"/>
      <c r="J28" s="89"/>
      <c r="K28" s="17">
        <f t="shared" si="0"/>
        <v>0</v>
      </c>
      <c r="L28" s="97"/>
      <c r="M28" s="97"/>
      <c r="N28" s="98">
        <f t="shared" si="1"/>
        <v>0</v>
      </c>
    </row>
  </sheetData>
  <mergeCells count="1">
    <mergeCell ref="B2:K2"/>
  </mergeCells>
  <phoneticPr fontId="3" type="noConversion"/>
  <printOptions horizontalCentered="1"/>
  <pageMargins left="0.75" right="0.75" top="1" bottom="1" header="0.5" footer="0.5"/>
  <pageSetup scale="70" orientation="landscape" r:id="rId1"/>
  <headerFooter alignWithMargins="0"/>
  <ignoredErrors>
    <ignoredError sqref="K4 K28" formulaRange="1"/>
    <ignoredError sqref="N5:N27" emptyCellReference="1"/>
    <ignoredError sqref="K5:K27" formulaRange="1" emptyCellReferenc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3"/>
    <pageSetUpPr fitToPage="1"/>
  </sheetPr>
  <dimension ref="B2:L96"/>
  <sheetViews>
    <sheetView zoomScaleNormal="100" workbookViewId="0">
      <pane xSplit="3" ySplit="3" topLeftCell="D4" activePane="bottomRight" state="frozenSplit"/>
      <selection activeCell="H5" sqref="H5"/>
      <selection pane="topRight" activeCell="H5" sqref="H5"/>
      <selection pane="bottomLeft" activeCell="H5" sqref="H5"/>
      <selection pane="bottomRight" activeCell="J3" sqref="J3"/>
    </sheetView>
  </sheetViews>
  <sheetFormatPr defaultRowHeight="12.75" x14ac:dyDescent="0.2"/>
  <cols>
    <col min="1" max="1" width="2.42578125" style="18" customWidth="1"/>
    <col min="2" max="2" width="11" style="20" customWidth="1"/>
    <col min="3" max="3" width="14.5703125" style="20" customWidth="1"/>
    <col min="4" max="8" width="11.42578125" style="20" customWidth="1"/>
    <col min="9" max="9" width="9.140625" style="20" customWidth="1"/>
    <col min="10" max="10" width="16" style="20" customWidth="1"/>
    <col min="11" max="11" width="14.7109375" style="20" customWidth="1"/>
    <col min="12" max="12" width="12.42578125" style="20" customWidth="1"/>
    <col min="13" max="16384" width="9.140625" style="18"/>
  </cols>
  <sheetData>
    <row r="2" spans="2:12" s="19" customFormat="1" ht="48" customHeight="1" x14ac:dyDescent="0.2">
      <c r="B2" s="103" t="s">
        <v>11</v>
      </c>
      <c r="E2" s="21"/>
      <c r="K2" s="114" t="s">
        <v>22</v>
      </c>
      <c r="L2" s="22">
        <v>38018</v>
      </c>
    </row>
    <row r="3" spans="2:12" s="19" customFormat="1" ht="45" customHeight="1" x14ac:dyDescent="0.2">
      <c r="B3" s="115" t="s">
        <v>23</v>
      </c>
      <c r="C3" s="116" t="s">
        <v>12</v>
      </c>
      <c r="D3" s="117" t="s">
        <v>37</v>
      </c>
      <c r="E3" s="117" t="s">
        <v>13</v>
      </c>
      <c r="F3" s="117" t="s">
        <v>14</v>
      </c>
      <c r="G3" s="117" t="s">
        <v>15</v>
      </c>
      <c r="H3" s="117" t="s">
        <v>38</v>
      </c>
      <c r="I3" s="117" t="s">
        <v>17</v>
      </c>
      <c r="J3" s="117" t="s">
        <v>49</v>
      </c>
      <c r="K3" s="115" t="s">
        <v>19</v>
      </c>
      <c r="L3" s="116" t="s">
        <v>21</v>
      </c>
    </row>
    <row r="4" spans="2:12" s="27" customFormat="1" ht="18.95" customHeight="1" x14ac:dyDescent="0.2">
      <c r="B4" s="90">
        <v>1</v>
      </c>
      <c r="C4" s="91" t="str">
        <f>VLOOKUP(B4,员工信息!$B$4:$N$28,2,FALSE)</f>
        <v>方建文</v>
      </c>
      <c r="D4" s="92">
        <v>50</v>
      </c>
      <c r="E4" s="92">
        <v>5</v>
      </c>
      <c r="F4" s="92">
        <v>1</v>
      </c>
      <c r="G4" s="92"/>
      <c r="H4" s="92"/>
      <c r="I4" s="104">
        <f>(VLOOKUP(B4,员工信息!$B$4:$N$28,3,FALSE)*(D4+E4+F4)+G4*H4)</f>
        <v>560</v>
      </c>
      <c r="J4" s="104">
        <f>VLOOKUP(B4,员工信息!$B$4:$N$28,10,FALSE)*I4+员工信息!N4</f>
        <v>273.08000000000004</v>
      </c>
      <c r="K4" s="105">
        <v>20</v>
      </c>
      <c r="L4" s="106">
        <f>I4-J4-K4</f>
        <v>266.91999999999996</v>
      </c>
    </row>
    <row r="5" spans="2:12" s="27" customFormat="1" ht="18.95" customHeight="1" x14ac:dyDescent="0.2">
      <c r="B5" s="28">
        <v>2</v>
      </c>
      <c r="C5" s="29">
        <f>VLOOKUP(B5,员工信息!$B$4:$N$28,2,FALSE)</f>
        <v>0</v>
      </c>
      <c r="D5" s="30"/>
      <c r="E5" s="30"/>
      <c r="F5" s="30"/>
      <c r="G5" s="30"/>
      <c r="H5" s="30"/>
      <c r="I5" s="107">
        <f>(VLOOKUP(B5,员工信息!$B$4:$N$28,3,FALSE)*(D5+E5+F5)+G5*H5)</f>
        <v>0</v>
      </c>
      <c r="J5" s="107">
        <f>VLOOKUP(B5,员工信息!$B$4:$N$28,10,FALSE)*I5+员工信息!N5</f>
        <v>0</v>
      </c>
      <c r="K5" s="108">
        <v>253</v>
      </c>
      <c r="L5" s="109">
        <f t="shared" ref="L5:L28" si="0">I5-J5-K5</f>
        <v>-253</v>
      </c>
    </row>
    <row r="6" spans="2:12" s="27" customFormat="1" ht="18.95" customHeight="1" x14ac:dyDescent="0.2">
      <c r="B6" s="24">
        <v>3</v>
      </c>
      <c r="C6" s="25">
        <f>VLOOKUP(B6,员工信息!$B$4:$N$28,2,FALSE)</f>
        <v>0</v>
      </c>
      <c r="D6" s="26"/>
      <c r="E6" s="26"/>
      <c r="F6" s="26"/>
      <c r="G6" s="26"/>
      <c r="H6" s="26"/>
      <c r="I6" s="107">
        <f>(VLOOKUP(B6,员工信息!$B$4:$N$28,3,FALSE)*(D6+E6+F6)+G6*H6)</f>
        <v>0</v>
      </c>
      <c r="J6" s="107">
        <f>VLOOKUP(B6,员工信息!$B$4:$N$28,10,FALSE)*I6+员工信息!N6</f>
        <v>0</v>
      </c>
      <c r="K6" s="110"/>
      <c r="L6" s="109">
        <f t="shared" si="0"/>
        <v>0</v>
      </c>
    </row>
    <row r="7" spans="2:12" s="27" customFormat="1" ht="18.95" customHeight="1" x14ac:dyDescent="0.2">
      <c r="B7" s="28">
        <v>4</v>
      </c>
      <c r="C7" s="29">
        <f>VLOOKUP(B7,员工信息!$B$4:$N$28,2,FALSE)</f>
        <v>0</v>
      </c>
      <c r="D7" s="30"/>
      <c r="E7" s="30"/>
      <c r="F7" s="30"/>
      <c r="G7" s="30"/>
      <c r="H7" s="30"/>
      <c r="I7" s="107">
        <f>(VLOOKUP(B7,员工信息!$B$4:$N$28,3,FALSE)*(D7+E7+F7)+G7*H7)</f>
        <v>0</v>
      </c>
      <c r="J7" s="107">
        <f>VLOOKUP(B7,员工信息!$B$4:$N$28,10,FALSE)*I7+员工信息!N7</f>
        <v>0</v>
      </c>
      <c r="K7" s="108"/>
      <c r="L7" s="109">
        <f t="shared" si="0"/>
        <v>0</v>
      </c>
    </row>
    <row r="8" spans="2:12" s="27" customFormat="1" ht="18.95" customHeight="1" x14ac:dyDescent="0.2">
      <c r="B8" s="24">
        <v>5</v>
      </c>
      <c r="C8" s="25">
        <f>VLOOKUP(B8,员工信息!$B$4:$N$28,2,FALSE)</f>
        <v>0</v>
      </c>
      <c r="D8" s="26"/>
      <c r="E8" s="26"/>
      <c r="F8" s="26"/>
      <c r="G8" s="26"/>
      <c r="H8" s="26"/>
      <c r="I8" s="107">
        <f>(VLOOKUP(B8,员工信息!$B$4:$N$28,3,FALSE)*(D8+E8+F8)+G8*H8)</f>
        <v>0</v>
      </c>
      <c r="J8" s="107">
        <f>VLOOKUP(B8,员工信息!$B$4:$N$28,10,FALSE)*I8+员工信息!N8</f>
        <v>0</v>
      </c>
      <c r="K8" s="110"/>
      <c r="L8" s="109">
        <f t="shared" si="0"/>
        <v>0</v>
      </c>
    </row>
    <row r="9" spans="2:12" s="27" customFormat="1" ht="18.95" customHeight="1" x14ac:dyDescent="0.2">
      <c r="B9" s="28">
        <v>6</v>
      </c>
      <c r="C9" s="29">
        <f>VLOOKUP(B9,员工信息!$B$4:$N$28,2,FALSE)</f>
        <v>0</v>
      </c>
      <c r="D9" s="30"/>
      <c r="E9" s="30"/>
      <c r="F9" s="30"/>
      <c r="G9" s="30"/>
      <c r="H9" s="30"/>
      <c r="I9" s="107">
        <f>(VLOOKUP(B9,员工信息!$B$4:$N$28,3,FALSE)*(D9+E9+F9)+G9*H9)</f>
        <v>0</v>
      </c>
      <c r="J9" s="107">
        <f>VLOOKUP(B9,员工信息!$B$4:$N$28,10,FALSE)*I9+员工信息!N9</f>
        <v>0</v>
      </c>
      <c r="K9" s="108"/>
      <c r="L9" s="109">
        <f t="shared" si="0"/>
        <v>0</v>
      </c>
    </row>
    <row r="10" spans="2:12" s="27" customFormat="1" ht="18.95" customHeight="1" x14ac:dyDescent="0.2">
      <c r="B10" s="24">
        <v>7</v>
      </c>
      <c r="C10" s="25">
        <f>VLOOKUP(B10,员工信息!$B$4:$N$28,2,FALSE)</f>
        <v>0</v>
      </c>
      <c r="D10" s="26"/>
      <c r="E10" s="26"/>
      <c r="F10" s="26"/>
      <c r="G10" s="26"/>
      <c r="H10" s="26"/>
      <c r="I10" s="107">
        <f>(VLOOKUP(B10,员工信息!$B$4:$N$28,3,FALSE)*(D10+E10+F10)+G10*H10)</f>
        <v>0</v>
      </c>
      <c r="J10" s="107">
        <f>VLOOKUP(B10,员工信息!$B$4:$N$28,10,FALSE)*I10+员工信息!N10</f>
        <v>0</v>
      </c>
      <c r="K10" s="110"/>
      <c r="L10" s="109">
        <f t="shared" si="0"/>
        <v>0</v>
      </c>
    </row>
    <row r="11" spans="2:12" s="27" customFormat="1" ht="18.95" customHeight="1" x14ac:dyDescent="0.2">
      <c r="B11" s="28">
        <v>8</v>
      </c>
      <c r="C11" s="29">
        <f>VLOOKUP(B11,员工信息!$B$4:$N$28,2,FALSE)</f>
        <v>0</v>
      </c>
      <c r="D11" s="30"/>
      <c r="E11" s="30"/>
      <c r="F11" s="30"/>
      <c r="G11" s="30"/>
      <c r="H11" s="30"/>
      <c r="I11" s="107">
        <f>(VLOOKUP(B11,员工信息!$B$4:$N$28,3,FALSE)*(D11+E11+F11)+G11*H11)</f>
        <v>0</v>
      </c>
      <c r="J11" s="107">
        <f>VLOOKUP(B11,员工信息!$B$4:$N$28,10,FALSE)*I11+员工信息!N11</f>
        <v>0</v>
      </c>
      <c r="K11" s="108"/>
      <c r="L11" s="109">
        <f t="shared" si="0"/>
        <v>0</v>
      </c>
    </row>
    <row r="12" spans="2:12" s="27" customFormat="1" ht="18.95" customHeight="1" x14ac:dyDescent="0.2">
      <c r="B12" s="24">
        <v>9</v>
      </c>
      <c r="C12" s="25">
        <f>VLOOKUP(B12,员工信息!$B$4:$N$28,2,FALSE)</f>
        <v>0</v>
      </c>
      <c r="D12" s="26"/>
      <c r="E12" s="26"/>
      <c r="F12" s="26"/>
      <c r="G12" s="26"/>
      <c r="H12" s="26"/>
      <c r="I12" s="107">
        <f>(VLOOKUP(B12,员工信息!$B$4:$N$28,3,FALSE)*(D12+E12+F12)+G12*H12)</f>
        <v>0</v>
      </c>
      <c r="J12" s="107">
        <f>VLOOKUP(B12,员工信息!$B$4:$N$28,10,FALSE)*I12+员工信息!N12</f>
        <v>0</v>
      </c>
      <c r="K12" s="110"/>
      <c r="L12" s="109">
        <f t="shared" si="0"/>
        <v>0</v>
      </c>
    </row>
    <row r="13" spans="2:12" s="27" customFormat="1" ht="18.95" customHeight="1" x14ac:dyDescent="0.2">
      <c r="B13" s="28">
        <v>10</v>
      </c>
      <c r="C13" s="29">
        <f>VLOOKUP(B13,员工信息!$B$4:$N$28,2,FALSE)</f>
        <v>0</v>
      </c>
      <c r="D13" s="30"/>
      <c r="E13" s="30"/>
      <c r="F13" s="30"/>
      <c r="G13" s="30"/>
      <c r="H13" s="30"/>
      <c r="I13" s="107">
        <f>(VLOOKUP(B13,员工信息!$B$4:$N$28,3,FALSE)*(D13+E13+F13)+G13*H13)</f>
        <v>0</v>
      </c>
      <c r="J13" s="107">
        <f>VLOOKUP(B13,员工信息!$B$4:$N$28,10,FALSE)*I13+员工信息!N13</f>
        <v>0</v>
      </c>
      <c r="K13" s="108"/>
      <c r="L13" s="109">
        <f t="shared" si="0"/>
        <v>0</v>
      </c>
    </row>
    <row r="14" spans="2:12" s="27" customFormat="1" ht="18.95" customHeight="1" x14ac:dyDescent="0.2">
      <c r="B14" s="24">
        <v>11</v>
      </c>
      <c r="C14" s="25">
        <f>VLOOKUP(B14,员工信息!$B$4:$N$28,2,FALSE)</f>
        <v>0</v>
      </c>
      <c r="D14" s="26"/>
      <c r="E14" s="26"/>
      <c r="F14" s="26"/>
      <c r="G14" s="26"/>
      <c r="H14" s="26"/>
      <c r="I14" s="107">
        <f>(VLOOKUP(B14,员工信息!$B$4:$N$28,3,FALSE)*(D14+E14+F14)+G14*H14)</f>
        <v>0</v>
      </c>
      <c r="J14" s="107">
        <f>VLOOKUP(B14,员工信息!$B$4:$N$28,10,FALSE)*I14+员工信息!N14</f>
        <v>0</v>
      </c>
      <c r="K14" s="110"/>
      <c r="L14" s="109">
        <f t="shared" si="0"/>
        <v>0</v>
      </c>
    </row>
    <row r="15" spans="2:12" s="27" customFormat="1" ht="18.95" customHeight="1" x14ac:dyDescent="0.2">
      <c r="B15" s="28">
        <v>12</v>
      </c>
      <c r="C15" s="29">
        <f>VLOOKUP(B15,员工信息!$B$4:$N$28,2,FALSE)</f>
        <v>0</v>
      </c>
      <c r="D15" s="30"/>
      <c r="E15" s="30"/>
      <c r="F15" s="30"/>
      <c r="G15" s="30"/>
      <c r="H15" s="30"/>
      <c r="I15" s="107">
        <f>(VLOOKUP(B15,员工信息!$B$4:$N$28,3,FALSE)*(D15+E15+F15)+G15*H15)</f>
        <v>0</v>
      </c>
      <c r="J15" s="107">
        <f>VLOOKUP(B15,员工信息!$B$4:$N$28,10,FALSE)*I15+员工信息!N15</f>
        <v>0</v>
      </c>
      <c r="K15" s="108"/>
      <c r="L15" s="109">
        <f t="shared" si="0"/>
        <v>0</v>
      </c>
    </row>
    <row r="16" spans="2:12" s="27" customFormat="1" ht="18.95" customHeight="1" x14ac:dyDescent="0.2">
      <c r="B16" s="24">
        <v>13</v>
      </c>
      <c r="C16" s="25">
        <f>VLOOKUP(B16,员工信息!$B$4:$N$28,2,FALSE)</f>
        <v>0</v>
      </c>
      <c r="D16" s="26"/>
      <c r="E16" s="26"/>
      <c r="F16" s="26"/>
      <c r="G16" s="26"/>
      <c r="H16" s="26"/>
      <c r="I16" s="107">
        <f>(VLOOKUP(B16,员工信息!$B$4:$N$28,3,FALSE)*(D16+E16+F16)+G16*H16)</f>
        <v>0</v>
      </c>
      <c r="J16" s="107">
        <f>VLOOKUP(B16,员工信息!$B$4:$N$28,10,FALSE)*I16+员工信息!N16</f>
        <v>0</v>
      </c>
      <c r="K16" s="110"/>
      <c r="L16" s="109">
        <f t="shared" si="0"/>
        <v>0</v>
      </c>
    </row>
    <row r="17" spans="2:12" s="27" customFormat="1" ht="18.95" customHeight="1" x14ac:dyDescent="0.2">
      <c r="B17" s="28">
        <v>14</v>
      </c>
      <c r="C17" s="29">
        <f>VLOOKUP(B17,员工信息!$B$4:$N$28,2,FALSE)</f>
        <v>0</v>
      </c>
      <c r="D17" s="30"/>
      <c r="E17" s="30"/>
      <c r="F17" s="30"/>
      <c r="G17" s="30"/>
      <c r="H17" s="30"/>
      <c r="I17" s="107">
        <f>(VLOOKUP(B17,员工信息!$B$4:$N$28,3,FALSE)*(D17+E17+F17)+G17*H17)</f>
        <v>0</v>
      </c>
      <c r="J17" s="107">
        <f>VLOOKUP(B17,员工信息!$B$4:$N$28,10,FALSE)*I17+员工信息!N17</f>
        <v>0</v>
      </c>
      <c r="K17" s="108"/>
      <c r="L17" s="109">
        <f t="shared" si="0"/>
        <v>0</v>
      </c>
    </row>
    <row r="18" spans="2:12" s="27" customFormat="1" ht="18.95" customHeight="1" x14ac:dyDescent="0.2">
      <c r="B18" s="24">
        <v>15</v>
      </c>
      <c r="C18" s="25">
        <f>VLOOKUP(B18,员工信息!$B$4:$N$28,2,FALSE)</f>
        <v>0</v>
      </c>
      <c r="D18" s="26"/>
      <c r="E18" s="26"/>
      <c r="F18" s="26"/>
      <c r="G18" s="26"/>
      <c r="H18" s="26"/>
      <c r="I18" s="107">
        <f>(VLOOKUP(B18,员工信息!$B$4:$N$28,3,FALSE)*(D18+E18+F18)+G18*H18)</f>
        <v>0</v>
      </c>
      <c r="J18" s="107">
        <f>VLOOKUP(B18,员工信息!$B$4:$N$28,10,FALSE)*I18+员工信息!N18</f>
        <v>0</v>
      </c>
      <c r="K18" s="110"/>
      <c r="L18" s="109">
        <f t="shared" si="0"/>
        <v>0</v>
      </c>
    </row>
    <row r="19" spans="2:12" s="27" customFormat="1" ht="18.95" customHeight="1" x14ac:dyDescent="0.2">
      <c r="B19" s="28">
        <v>16</v>
      </c>
      <c r="C19" s="29">
        <f>VLOOKUP(B19,员工信息!$B$4:$N$28,2,FALSE)</f>
        <v>0</v>
      </c>
      <c r="D19" s="30"/>
      <c r="E19" s="30"/>
      <c r="F19" s="30"/>
      <c r="G19" s="30"/>
      <c r="H19" s="30"/>
      <c r="I19" s="107">
        <f>(VLOOKUP(B19,员工信息!$B$4:$N$28,3,FALSE)*(D19+E19+F19)+G19*H19)</f>
        <v>0</v>
      </c>
      <c r="J19" s="107">
        <f>VLOOKUP(B19,员工信息!$B$4:$N$28,10,FALSE)*I19+员工信息!N19</f>
        <v>0</v>
      </c>
      <c r="K19" s="108"/>
      <c r="L19" s="109">
        <f t="shared" si="0"/>
        <v>0</v>
      </c>
    </row>
    <row r="20" spans="2:12" s="27" customFormat="1" ht="18.95" customHeight="1" x14ac:dyDescent="0.2">
      <c r="B20" s="24">
        <v>17</v>
      </c>
      <c r="C20" s="25">
        <f>VLOOKUP(B20,员工信息!$B$4:$N$28,2,FALSE)</f>
        <v>0</v>
      </c>
      <c r="D20" s="26"/>
      <c r="E20" s="26"/>
      <c r="F20" s="26"/>
      <c r="G20" s="26"/>
      <c r="H20" s="26"/>
      <c r="I20" s="107">
        <f>(VLOOKUP(B20,员工信息!$B$4:$N$28,3,FALSE)*(D20+E20+F20)+G20*H20)</f>
        <v>0</v>
      </c>
      <c r="J20" s="107">
        <f>VLOOKUP(B20,员工信息!$B$4:$N$28,10,FALSE)*I20+员工信息!N20</f>
        <v>0</v>
      </c>
      <c r="K20" s="110"/>
      <c r="L20" s="109">
        <f t="shared" si="0"/>
        <v>0</v>
      </c>
    </row>
    <row r="21" spans="2:12" s="27" customFormat="1" ht="18.95" customHeight="1" x14ac:dyDescent="0.2">
      <c r="B21" s="28">
        <v>18</v>
      </c>
      <c r="C21" s="29">
        <f>VLOOKUP(B21,员工信息!$B$4:$N$28,2,FALSE)</f>
        <v>0</v>
      </c>
      <c r="D21" s="30"/>
      <c r="E21" s="30"/>
      <c r="F21" s="30"/>
      <c r="G21" s="30"/>
      <c r="H21" s="30"/>
      <c r="I21" s="107">
        <f>(VLOOKUP(B21,员工信息!$B$4:$N$28,3,FALSE)*(D21+E21+F21)+G21*H21)</f>
        <v>0</v>
      </c>
      <c r="J21" s="107">
        <f>VLOOKUP(B21,员工信息!$B$4:$N$28,10,FALSE)*I21+员工信息!N21</f>
        <v>0</v>
      </c>
      <c r="K21" s="108"/>
      <c r="L21" s="109">
        <f t="shared" si="0"/>
        <v>0</v>
      </c>
    </row>
    <row r="22" spans="2:12" s="27" customFormat="1" ht="18.95" customHeight="1" x14ac:dyDescent="0.2">
      <c r="B22" s="24">
        <v>19</v>
      </c>
      <c r="C22" s="25">
        <f>VLOOKUP(B22,员工信息!$B$4:$N$28,2,FALSE)</f>
        <v>0</v>
      </c>
      <c r="D22" s="26"/>
      <c r="E22" s="26"/>
      <c r="F22" s="26"/>
      <c r="G22" s="26"/>
      <c r="H22" s="26"/>
      <c r="I22" s="107">
        <f>(VLOOKUP(B22,员工信息!$B$4:$N$28,3,FALSE)*(D22+E22+F22)+G22*H22)</f>
        <v>0</v>
      </c>
      <c r="J22" s="107">
        <f>VLOOKUP(B22,员工信息!$B$4:$N$28,10,FALSE)*I22+员工信息!N22</f>
        <v>0</v>
      </c>
      <c r="K22" s="110"/>
      <c r="L22" s="109">
        <f t="shared" si="0"/>
        <v>0</v>
      </c>
    </row>
    <row r="23" spans="2:12" s="27" customFormat="1" ht="18.95" customHeight="1" x14ac:dyDescent="0.2">
      <c r="B23" s="28">
        <v>20</v>
      </c>
      <c r="C23" s="29">
        <f>VLOOKUP(B23,员工信息!$B$4:$N$28,2,FALSE)</f>
        <v>0</v>
      </c>
      <c r="D23" s="30"/>
      <c r="E23" s="30"/>
      <c r="F23" s="30"/>
      <c r="G23" s="30"/>
      <c r="H23" s="30"/>
      <c r="I23" s="107">
        <f>(VLOOKUP(B23,员工信息!$B$4:$N$28,3,FALSE)*(D23+E23+F23)+G23*H23)</f>
        <v>0</v>
      </c>
      <c r="J23" s="107">
        <f>VLOOKUP(B23,员工信息!$B$4:$N$28,10,FALSE)*I23+员工信息!N23</f>
        <v>0</v>
      </c>
      <c r="K23" s="108"/>
      <c r="L23" s="109">
        <f t="shared" si="0"/>
        <v>0</v>
      </c>
    </row>
    <row r="24" spans="2:12" s="27" customFormat="1" ht="18.95" customHeight="1" x14ac:dyDescent="0.2">
      <c r="B24" s="24">
        <v>21</v>
      </c>
      <c r="C24" s="25">
        <f>VLOOKUP(B24,员工信息!$B$4:$N$28,2,FALSE)</f>
        <v>0</v>
      </c>
      <c r="D24" s="26"/>
      <c r="E24" s="26"/>
      <c r="F24" s="26"/>
      <c r="G24" s="26"/>
      <c r="H24" s="26"/>
      <c r="I24" s="107">
        <f>(VLOOKUP(B24,员工信息!$B$4:$N$28,3,FALSE)*(D24+E24+F24)+G24*H24)</f>
        <v>0</v>
      </c>
      <c r="J24" s="107">
        <f>VLOOKUP(B24,员工信息!$B$4:$N$28,10,FALSE)*I24+员工信息!N24</f>
        <v>0</v>
      </c>
      <c r="K24" s="110"/>
      <c r="L24" s="109">
        <f t="shared" si="0"/>
        <v>0</v>
      </c>
    </row>
    <row r="25" spans="2:12" s="27" customFormat="1" ht="18.95" customHeight="1" x14ac:dyDescent="0.2">
      <c r="B25" s="28">
        <v>22</v>
      </c>
      <c r="C25" s="29">
        <f>VLOOKUP(B25,员工信息!$B$4:$N$28,2,FALSE)</f>
        <v>0</v>
      </c>
      <c r="D25" s="30"/>
      <c r="E25" s="30"/>
      <c r="F25" s="30"/>
      <c r="G25" s="30"/>
      <c r="H25" s="30"/>
      <c r="I25" s="107">
        <f>(VLOOKUP(B25,员工信息!$B$4:$N$28,3,FALSE)*(D25+E25+F25)+G25*H25)</f>
        <v>0</v>
      </c>
      <c r="J25" s="107">
        <f>VLOOKUP(B25,员工信息!$B$4:$N$28,10,FALSE)*I25+员工信息!N25</f>
        <v>0</v>
      </c>
      <c r="K25" s="108"/>
      <c r="L25" s="109">
        <f t="shared" si="0"/>
        <v>0</v>
      </c>
    </row>
    <row r="26" spans="2:12" s="27" customFormat="1" ht="18.95" customHeight="1" x14ac:dyDescent="0.2">
      <c r="B26" s="24">
        <v>23</v>
      </c>
      <c r="C26" s="25">
        <f>VLOOKUP(B26,员工信息!$B$4:$N$28,2,FALSE)</f>
        <v>0</v>
      </c>
      <c r="D26" s="26"/>
      <c r="E26" s="26"/>
      <c r="F26" s="26"/>
      <c r="G26" s="26"/>
      <c r="H26" s="26"/>
      <c r="I26" s="107">
        <f>(VLOOKUP(B26,员工信息!$B$4:$N$28,3,FALSE)*(D26+E26+F26)+G26*H26)</f>
        <v>0</v>
      </c>
      <c r="J26" s="107">
        <f>VLOOKUP(B26,员工信息!$B$4:$N$28,10,FALSE)*I26+员工信息!N26</f>
        <v>0</v>
      </c>
      <c r="K26" s="110"/>
      <c r="L26" s="109">
        <f t="shared" si="0"/>
        <v>0</v>
      </c>
    </row>
    <row r="27" spans="2:12" s="27" customFormat="1" ht="18.95" customHeight="1" x14ac:dyDescent="0.2">
      <c r="B27" s="28">
        <v>24</v>
      </c>
      <c r="C27" s="29">
        <f>VLOOKUP(B27,员工信息!$B$4:$N$28,2,FALSE)</f>
        <v>0</v>
      </c>
      <c r="D27" s="30"/>
      <c r="E27" s="30"/>
      <c r="F27" s="30"/>
      <c r="G27" s="30"/>
      <c r="H27" s="30"/>
      <c r="I27" s="107">
        <f>(VLOOKUP(B27,员工信息!$B$4:$N$28,3,FALSE)*(D27+E27+F27)+G27*H27)</f>
        <v>0</v>
      </c>
      <c r="J27" s="107">
        <f>VLOOKUP(B27,员工信息!$B$4:$N$28,10,FALSE)*I27+员工信息!N27</f>
        <v>0</v>
      </c>
      <c r="K27" s="108"/>
      <c r="L27" s="109">
        <f t="shared" si="0"/>
        <v>0</v>
      </c>
    </row>
    <row r="28" spans="2:12" s="27" customFormat="1" ht="18.95" customHeight="1" x14ac:dyDescent="0.2">
      <c r="B28" s="31">
        <v>25</v>
      </c>
      <c r="C28" s="32">
        <f>VLOOKUP(B28,员工信息!$B$4:$N$28,2,FALSE)</f>
        <v>0</v>
      </c>
      <c r="D28" s="33"/>
      <c r="E28" s="33"/>
      <c r="F28" s="33"/>
      <c r="G28" s="33"/>
      <c r="H28" s="33"/>
      <c r="I28" s="111">
        <f>(VLOOKUP(B28,员工信息!$B$4:$N$28,3,FALSE)*(D28+E28+F28)+G28*H28)</f>
        <v>0</v>
      </c>
      <c r="J28" s="111">
        <f>VLOOKUP(B28,员工信息!$B$4:$N$28,10,FALSE)*I28+员工信息!N27</f>
        <v>0</v>
      </c>
      <c r="K28" s="112"/>
      <c r="L28" s="113">
        <f t="shared" si="0"/>
        <v>0</v>
      </c>
    </row>
    <row r="29" spans="2:12" s="35" customFormat="1" x14ac:dyDescent="0.2"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</row>
    <row r="30" spans="2:12" s="35" customFormat="1" x14ac:dyDescent="0.2"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</row>
    <row r="31" spans="2:12" s="35" customFormat="1" x14ac:dyDescent="0.2"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</row>
    <row r="32" spans="2:12" s="35" customFormat="1" x14ac:dyDescent="0.2"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</row>
    <row r="33" spans="2:12" s="35" customFormat="1" x14ac:dyDescent="0.2"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</row>
    <row r="34" spans="2:12" s="35" customFormat="1" x14ac:dyDescent="0.2"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</row>
    <row r="35" spans="2:12" s="35" customFormat="1" x14ac:dyDescent="0.2"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</row>
    <row r="36" spans="2:12" s="35" customFormat="1" x14ac:dyDescent="0.2"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</row>
    <row r="37" spans="2:12" s="35" customFormat="1" x14ac:dyDescent="0.2"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</row>
    <row r="38" spans="2:12" s="35" customFormat="1" x14ac:dyDescent="0.2"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</row>
    <row r="39" spans="2:12" s="35" customFormat="1" x14ac:dyDescent="0.2"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</row>
    <row r="40" spans="2:12" s="35" customFormat="1" x14ac:dyDescent="0.2"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</row>
    <row r="41" spans="2:12" s="35" customFormat="1" x14ac:dyDescent="0.2"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</row>
    <row r="42" spans="2:12" s="35" customFormat="1" x14ac:dyDescent="0.2"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</row>
    <row r="43" spans="2:12" s="35" customFormat="1" x14ac:dyDescent="0.2"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</row>
    <row r="44" spans="2:12" s="35" customFormat="1" x14ac:dyDescent="0.2"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</row>
    <row r="45" spans="2:12" s="35" customFormat="1" x14ac:dyDescent="0.2"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</row>
    <row r="46" spans="2:12" s="35" customFormat="1" x14ac:dyDescent="0.2"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</row>
    <row r="47" spans="2:12" s="35" customFormat="1" x14ac:dyDescent="0.2"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</row>
    <row r="48" spans="2:12" s="35" customFormat="1" x14ac:dyDescent="0.2"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</row>
    <row r="49" spans="2:12" s="35" customFormat="1" x14ac:dyDescent="0.2"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</row>
    <row r="50" spans="2:12" s="35" customFormat="1" x14ac:dyDescent="0.2"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</row>
    <row r="51" spans="2:12" s="35" customFormat="1" x14ac:dyDescent="0.2"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</row>
    <row r="52" spans="2:12" s="35" customFormat="1" x14ac:dyDescent="0.2"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</row>
    <row r="53" spans="2:12" s="35" customFormat="1" x14ac:dyDescent="0.2"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</row>
    <row r="54" spans="2:12" s="35" customFormat="1" x14ac:dyDescent="0.2"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</row>
    <row r="55" spans="2:12" s="35" customFormat="1" x14ac:dyDescent="0.2"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</row>
    <row r="56" spans="2:12" s="35" customFormat="1" x14ac:dyDescent="0.2"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</row>
    <row r="57" spans="2:12" s="35" customFormat="1" x14ac:dyDescent="0.2"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</row>
    <row r="58" spans="2:12" s="35" customFormat="1" x14ac:dyDescent="0.2"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</row>
    <row r="59" spans="2:12" s="35" customFormat="1" x14ac:dyDescent="0.2"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</row>
    <row r="60" spans="2:12" s="35" customFormat="1" x14ac:dyDescent="0.2"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</row>
    <row r="61" spans="2:12" s="35" customFormat="1" x14ac:dyDescent="0.2"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</row>
    <row r="62" spans="2:12" s="35" customFormat="1" x14ac:dyDescent="0.2"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</row>
    <row r="63" spans="2:12" s="35" customFormat="1" x14ac:dyDescent="0.2"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</row>
    <row r="64" spans="2:12" s="35" customFormat="1" x14ac:dyDescent="0.2"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</row>
    <row r="65" spans="2:12" s="35" customFormat="1" x14ac:dyDescent="0.2"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</row>
    <row r="66" spans="2:12" s="35" customFormat="1" x14ac:dyDescent="0.2"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</row>
    <row r="67" spans="2:12" s="35" customFormat="1" x14ac:dyDescent="0.2"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</row>
    <row r="68" spans="2:12" s="35" customFormat="1" x14ac:dyDescent="0.2"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</row>
    <row r="69" spans="2:12" s="35" customFormat="1" x14ac:dyDescent="0.2"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</row>
    <row r="70" spans="2:12" s="35" customFormat="1" x14ac:dyDescent="0.2"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</row>
    <row r="71" spans="2:12" s="35" customFormat="1" x14ac:dyDescent="0.2"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</row>
    <row r="72" spans="2:12" x14ac:dyDescent="0.2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</row>
    <row r="73" spans="2:12" x14ac:dyDescent="0.2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</row>
    <row r="74" spans="2:12" x14ac:dyDescent="0.2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</row>
    <row r="75" spans="2:12" x14ac:dyDescent="0.2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</row>
    <row r="76" spans="2:12" x14ac:dyDescent="0.2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</row>
    <row r="77" spans="2:12" x14ac:dyDescent="0.2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</row>
    <row r="78" spans="2:12" x14ac:dyDescent="0.2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</row>
    <row r="79" spans="2:12" x14ac:dyDescent="0.2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</row>
    <row r="80" spans="2:12" x14ac:dyDescent="0.2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</row>
    <row r="81" spans="2:12" x14ac:dyDescent="0.2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</row>
    <row r="82" spans="2:12" x14ac:dyDescent="0.2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</row>
    <row r="83" spans="2:12" x14ac:dyDescent="0.2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</row>
    <row r="84" spans="2:12" x14ac:dyDescent="0.2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</row>
    <row r="85" spans="2:12" x14ac:dyDescent="0.2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</row>
    <row r="86" spans="2:12" x14ac:dyDescent="0.2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</row>
    <row r="87" spans="2:12" x14ac:dyDescent="0.2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</row>
    <row r="88" spans="2:12" x14ac:dyDescent="0.2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</row>
    <row r="89" spans="2:12" x14ac:dyDescent="0.2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</row>
    <row r="90" spans="2:12" x14ac:dyDescent="0.2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</row>
    <row r="91" spans="2:12" x14ac:dyDescent="0.2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</row>
    <row r="92" spans="2:12" x14ac:dyDescent="0.2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</row>
    <row r="93" spans="2:12" x14ac:dyDescent="0.2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</row>
    <row r="94" spans="2:12" x14ac:dyDescent="0.2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</row>
    <row r="95" spans="2:12" x14ac:dyDescent="0.2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</row>
    <row r="96" spans="2:12" x14ac:dyDescent="0.2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</row>
  </sheetData>
  <phoneticPr fontId="3" type="noConversion"/>
  <printOptions horizontalCentered="1"/>
  <pageMargins left="0.75" right="0.75" top="1" bottom="1" header="0.5" footer="0.5"/>
  <pageSetup scale="83" orientation="landscape" r:id="rId1"/>
  <headerFooter alignWithMargins="0"/>
  <ignoredErrors>
    <ignoredError sqref="C4:C28 I4:J5 L5:L28 I6:I28 J6:J27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8"/>
  </sheetPr>
  <dimension ref="B1:I49"/>
  <sheetViews>
    <sheetView tabSelected="1" zoomScaleNormal="100" workbookViewId="0">
      <selection activeCell="D3" sqref="D3"/>
    </sheetView>
  </sheetViews>
  <sheetFormatPr defaultRowHeight="12.75" x14ac:dyDescent="0.2"/>
  <cols>
    <col min="1" max="1" width="0.85546875" style="37" customWidth="1"/>
    <col min="2" max="2" width="2.42578125" style="37" customWidth="1"/>
    <col min="3" max="3" width="21.42578125" style="37" customWidth="1"/>
    <col min="4" max="4" width="13.7109375" style="37" bestFit="1" customWidth="1"/>
    <col min="5" max="5" width="27" style="37" customWidth="1"/>
    <col min="6" max="7" width="19.140625" style="37" customWidth="1"/>
    <col min="8" max="8" width="16.42578125" style="37" customWidth="1"/>
    <col min="9" max="9" width="2.5703125" style="37" customWidth="1"/>
    <col min="10" max="16384" width="9.140625" style="37"/>
  </cols>
  <sheetData>
    <row r="1" spans="2:9" s="36" customFormat="1" ht="6.75" customHeight="1" thickBot="1" x14ac:dyDescent="0.25"/>
    <row r="2" spans="2:9" s="38" customFormat="1" ht="38.1" customHeight="1" thickTop="1" x14ac:dyDescent="0.2">
      <c r="B2" s="51"/>
      <c r="C2" s="52" t="s">
        <v>24</v>
      </c>
      <c r="D2" s="53"/>
      <c r="E2" s="53"/>
      <c r="F2" s="53"/>
      <c r="G2" s="53"/>
      <c r="H2" s="53"/>
      <c r="I2" s="54"/>
    </row>
    <row r="3" spans="2:9" s="16" customFormat="1" ht="18" customHeight="1" x14ac:dyDescent="0.2">
      <c r="B3" s="55"/>
      <c r="C3" s="40" t="s">
        <v>25</v>
      </c>
      <c r="D3" s="79">
        <f>工资计算器!$L$2</f>
        <v>38018</v>
      </c>
      <c r="E3" s="41" t="s">
        <v>26</v>
      </c>
      <c r="F3" s="82" t="str">
        <f>VLOOKUP(H3,员工信息!$B$4:$N$28,2,FALSE)</f>
        <v>方建文</v>
      </c>
      <c r="G3" s="42" t="s">
        <v>27</v>
      </c>
      <c r="H3" s="84">
        <v>1</v>
      </c>
      <c r="I3" s="56"/>
    </row>
    <row r="4" spans="2:9" s="16" customFormat="1" ht="9" customHeight="1" x14ac:dyDescent="0.2">
      <c r="B4" s="55"/>
      <c r="C4" s="48"/>
      <c r="D4" s="80"/>
      <c r="E4" s="48"/>
      <c r="F4" s="83"/>
      <c r="G4" s="49"/>
      <c r="H4" s="49"/>
      <c r="I4" s="56"/>
    </row>
    <row r="5" spans="2:9" s="4" customFormat="1" ht="18" customHeight="1" x14ac:dyDescent="0.2">
      <c r="B5" s="57"/>
      <c r="C5" s="43" t="s">
        <v>2</v>
      </c>
      <c r="D5" s="81">
        <f>VLOOKUP(H3,员工信息!$B$4:$N$28,4,FALSE)</f>
        <v>1</v>
      </c>
      <c r="E5" s="45" t="s">
        <v>3</v>
      </c>
      <c r="F5" s="81">
        <f>VLOOKUP(H3,员工信息!$B$4:$N$28,5,FALSE)</f>
        <v>4</v>
      </c>
      <c r="G5" s="50" t="s">
        <v>32</v>
      </c>
      <c r="H5" s="85">
        <f>VLOOKUP(H3,工资计算器!$B$3:$L$28,3,FALSE)</f>
        <v>50</v>
      </c>
      <c r="I5" s="58"/>
    </row>
    <row r="6" spans="2:9" s="4" customFormat="1" ht="18" customHeight="1" x14ac:dyDescent="0.2">
      <c r="B6" s="57"/>
      <c r="C6" s="44" t="s">
        <v>1</v>
      </c>
      <c r="D6" s="118">
        <f>VLOOKUP(H3,员工信息!$B$4:$N$28,3,FALSE)</f>
        <v>10</v>
      </c>
      <c r="E6" s="45" t="s">
        <v>28</v>
      </c>
      <c r="F6" s="118">
        <f>VLOOKUP(H3,工资计算器!$B$3:$L$28,7,FALSE)</f>
        <v>0</v>
      </c>
      <c r="G6" s="45" t="s">
        <v>29</v>
      </c>
      <c r="H6" s="85">
        <f>VLOOKUP(H3,工资计算器!$B$3:$L$28,5,FALSE)</f>
        <v>1</v>
      </c>
      <c r="I6" s="58"/>
    </row>
    <row r="7" spans="2:9" s="4" customFormat="1" ht="18" customHeight="1" x14ac:dyDescent="0.2">
      <c r="B7" s="57"/>
      <c r="C7" s="43" t="s">
        <v>35</v>
      </c>
      <c r="D7" s="118">
        <f>VLOOKUP(H3,员工信息!$B$4:$N$28,8,FALSE)*H9</f>
        <v>35.28</v>
      </c>
      <c r="E7" s="120" t="s">
        <v>39</v>
      </c>
      <c r="F7" s="118">
        <f>VLOOKUP(H3,员工信息!$B$4:$N$28,7,FALSE)*H9</f>
        <v>156.80000000000001</v>
      </c>
      <c r="G7" s="45" t="s">
        <v>30</v>
      </c>
      <c r="H7" s="85">
        <f>VLOOKUP(H3,工资计算器!$B$3:$L$28,4,FALSE)</f>
        <v>5</v>
      </c>
      <c r="I7" s="58"/>
    </row>
    <row r="8" spans="2:9" s="4" customFormat="1" ht="18" customHeight="1" x14ac:dyDescent="0.2">
      <c r="B8" s="57"/>
      <c r="C8" s="43" t="s">
        <v>36</v>
      </c>
      <c r="D8" s="118">
        <f>VLOOKUP(H3,员工信息!$B$4:$N$28,9,FALSE)*H9</f>
        <v>8.120000000000001</v>
      </c>
      <c r="E8" s="45" t="s">
        <v>34</v>
      </c>
      <c r="F8" s="118">
        <f>VLOOKUP(H3,员工信息!$B$4:$N$28,6,FALSE)*H9</f>
        <v>12.879999999999999</v>
      </c>
      <c r="G8" s="45" t="s">
        <v>31</v>
      </c>
      <c r="H8" s="85">
        <f>VLOOKUP(H3,工资计算器!$B$3:$L$28,6,FALSE)</f>
        <v>0</v>
      </c>
      <c r="I8" s="58"/>
    </row>
    <row r="9" spans="2:9" s="4" customFormat="1" ht="18" customHeight="1" x14ac:dyDescent="0.2">
      <c r="B9" s="57"/>
      <c r="C9" s="121" t="s">
        <v>45</v>
      </c>
      <c r="D9" s="118">
        <f>VLOOKUP(H3,员工信息!$B$4:$N$28,11,FALSE)</f>
        <v>20</v>
      </c>
      <c r="E9" s="45" t="s">
        <v>33</v>
      </c>
      <c r="F9" s="118">
        <f>VLOOKUP(H3,员工信息!$B$4:$N$28,12,FALSE)</f>
        <v>40</v>
      </c>
      <c r="G9" s="45" t="s">
        <v>16</v>
      </c>
      <c r="H9" s="119">
        <f>VLOOKUP(H3,工资计算器!$B$3:$L$28,8,FALSE)</f>
        <v>560</v>
      </c>
      <c r="I9" s="59"/>
    </row>
    <row r="10" spans="2:9" s="4" customFormat="1" ht="30" customHeight="1" x14ac:dyDescent="0.2">
      <c r="B10" s="57"/>
      <c r="C10" s="121" t="s">
        <v>49</v>
      </c>
      <c r="D10" s="118">
        <f>SUM(F7:F9)+SUM(D7:D9)</f>
        <v>273.08000000000004</v>
      </c>
      <c r="E10" s="45" t="s">
        <v>18</v>
      </c>
      <c r="F10" s="118">
        <f>VLOOKUP(H3,工资计算器!$B$3:$L$28,10,FALSE)</f>
        <v>20</v>
      </c>
      <c r="G10" s="120" t="s">
        <v>46</v>
      </c>
      <c r="H10" s="119">
        <f>VLOOKUP(H3,工资计算器!$B$3:$L$28,9,FALSE)+F10</f>
        <v>293.08000000000004</v>
      </c>
      <c r="I10" s="59"/>
    </row>
    <row r="11" spans="2:9" s="4" customFormat="1" ht="15" customHeight="1" x14ac:dyDescent="0.2">
      <c r="B11" s="57"/>
      <c r="C11" s="46"/>
      <c r="D11" s="47"/>
      <c r="E11" s="46"/>
      <c r="F11" s="47"/>
      <c r="G11" s="78" t="s">
        <v>20</v>
      </c>
      <c r="H11" s="119">
        <f>VLOOKUP(H3,工资计算器!$B$3:$L$28,11,FALSE)</f>
        <v>266.91999999999996</v>
      </c>
      <c r="I11" s="59"/>
    </row>
    <row r="12" spans="2:9" ht="13.5" thickBot="1" x14ac:dyDescent="0.25">
      <c r="B12" s="60"/>
      <c r="C12" s="61"/>
      <c r="D12" s="62"/>
      <c r="E12" s="61"/>
      <c r="F12" s="62"/>
      <c r="G12" s="61"/>
      <c r="H12" s="62"/>
      <c r="I12" s="63"/>
    </row>
    <row r="13" spans="2:9" ht="14.25" thickTop="1" thickBot="1" x14ac:dyDescent="0.25"/>
    <row r="14" spans="2:9" s="39" customFormat="1" ht="38.1" customHeight="1" thickTop="1" x14ac:dyDescent="0.2">
      <c r="B14" s="64"/>
      <c r="C14" s="52" t="s">
        <v>24</v>
      </c>
      <c r="D14" s="65"/>
      <c r="E14" s="65"/>
      <c r="F14" s="65"/>
      <c r="G14" s="65"/>
      <c r="H14" s="65"/>
      <c r="I14" s="66"/>
    </row>
    <row r="15" spans="2:9" s="4" customFormat="1" ht="18" customHeight="1" x14ac:dyDescent="0.2">
      <c r="B15" s="57"/>
      <c r="C15" s="40" t="s">
        <v>25</v>
      </c>
      <c r="D15" s="79">
        <f>工资计算器!$L$2</f>
        <v>38018</v>
      </c>
      <c r="E15" s="41" t="s">
        <v>26</v>
      </c>
      <c r="F15" s="82">
        <f>VLOOKUP(H15,员工信息!$B$4:$N$28,2,FALSE)</f>
        <v>0</v>
      </c>
      <c r="G15" s="42" t="s">
        <v>27</v>
      </c>
      <c r="H15" s="84">
        <v>2</v>
      </c>
      <c r="I15" s="58"/>
    </row>
    <row r="16" spans="2:9" s="4" customFormat="1" ht="9" customHeight="1" x14ac:dyDescent="0.2">
      <c r="B16" s="57"/>
      <c r="C16" s="48"/>
      <c r="D16" s="80"/>
      <c r="E16" s="48"/>
      <c r="F16" s="83"/>
      <c r="G16" s="49"/>
      <c r="H16" s="49"/>
      <c r="I16" s="58"/>
    </row>
    <row r="17" spans="2:9" s="16" customFormat="1" ht="18" customHeight="1" x14ac:dyDescent="0.2">
      <c r="B17" s="55"/>
      <c r="C17" s="43" t="s">
        <v>2</v>
      </c>
      <c r="D17" s="81">
        <f>VLOOKUP(H15,员工信息!$B$4:$N$28,4,FALSE)</f>
        <v>0</v>
      </c>
      <c r="E17" s="45" t="s">
        <v>3</v>
      </c>
      <c r="F17" s="81">
        <f>VLOOKUP(H15,员工信息!$B$4:$N$28,5,FALSE)</f>
        <v>0</v>
      </c>
      <c r="G17" s="50" t="s">
        <v>32</v>
      </c>
      <c r="H17" s="85">
        <f>VLOOKUP(H15,工资计算器!$B$3:$L$28,3,FALSE)</f>
        <v>0</v>
      </c>
      <c r="I17" s="56"/>
    </row>
    <row r="18" spans="2:9" s="16" customFormat="1" ht="18" customHeight="1" x14ac:dyDescent="0.2">
      <c r="B18" s="55"/>
      <c r="C18" s="44" t="s">
        <v>1</v>
      </c>
      <c r="D18" s="118">
        <f>VLOOKUP(H15,员工信息!$B$4:$N$28,3,FALSE)</f>
        <v>0</v>
      </c>
      <c r="E18" s="45" t="s">
        <v>28</v>
      </c>
      <c r="F18" s="118">
        <f>VLOOKUP(H15,工资计算器!$B$3:$L$28,7,FALSE)</f>
        <v>0</v>
      </c>
      <c r="G18" s="45" t="s">
        <v>29</v>
      </c>
      <c r="H18" s="85">
        <f>VLOOKUP(H15,工资计算器!$B$3:$L$28,5,FALSE)</f>
        <v>0</v>
      </c>
      <c r="I18" s="56"/>
    </row>
    <row r="19" spans="2:9" s="16" customFormat="1" ht="18" customHeight="1" x14ac:dyDescent="0.2">
      <c r="B19" s="55"/>
      <c r="C19" s="43" t="s">
        <v>35</v>
      </c>
      <c r="D19" s="118">
        <f>VLOOKUP(H15,员工信息!$B$4:$N$28,8,FALSE)*H21</f>
        <v>0</v>
      </c>
      <c r="E19" s="120" t="s">
        <v>39</v>
      </c>
      <c r="F19" s="118">
        <f>VLOOKUP(H15,员工信息!$B$4:$N$28,7,FALSE)*H21</f>
        <v>0</v>
      </c>
      <c r="G19" s="45" t="s">
        <v>30</v>
      </c>
      <c r="H19" s="85">
        <f>VLOOKUP(H15,工资计算器!$B$3:$L$28,4,FALSE)</f>
        <v>0</v>
      </c>
      <c r="I19" s="56"/>
    </row>
    <row r="20" spans="2:9" s="16" customFormat="1" ht="18" customHeight="1" x14ac:dyDescent="0.2">
      <c r="B20" s="55"/>
      <c r="C20" s="43" t="s">
        <v>36</v>
      </c>
      <c r="D20" s="118">
        <f>VLOOKUP(H15,员工信息!$B$4:$N$28,9,FALSE)*H21</f>
        <v>0</v>
      </c>
      <c r="E20" s="45" t="s">
        <v>34</v>
      </c>
      <c r="F20" s="118">
        <f>VLOOKUP(H15,员工信息!$B$4:$N$28,6,FALSE)*H21</f>
        <v>0</v>
      </c>
      <c r="G20" s="45" t="s">
        <v>31</v>
      </c>
      <c r="H20" s="85">
        <f>VLOOKUP(H15,工资计算器!$B$3:$L$28,6,FALSE)</f>
        <v>0</v>
      </c>
      <c r="I20" s="56"/>
    </row>
    <row r="21" spans="2:9" s="16" customFormat="1" ht="18" customHeight="1" x14ac:dyDescent="0.2">
      <c r="B21" s="55"/>
      <c r="C21" s="121" t="s">
        <v>45</v>
      </c>
      <c r="D21" s="118">
        <f>VLOOKUP(H15,员工信息!$B$4:$N$28,11,FALSE)</f>
        <v>0</v>
      </c>
      <c r="E21" s="45" t="s">
        <v>33</v>
      </c>
      <c r="F21" s="118">
        <f>VLOOKUP(H15,员工信息!$B$4:$N$28,12,FALSE)</f>
        <v>0</v>
      </c>
      <c r="G21" s="45" t="s">
        <v>16</v>
      </c>
      <c r="H21" s="119">
        <f>VLOOKUP(H15,工资计算器!$B$3:$L$28,8,FALSE)</f>
        <v>0</v>
      </c>
      <c r="I21" s="67"/>
    </row>
    <row r="22" spans="2:9" s="16" customFormat="1" ht="30" customHeight="1" x14ac:dyDescent="0.2">
      <c r="B22" s="55"/>
      <c r="C22" s="121" t="s">
        <v>49</v>
      </c>
      <c r="D22" s="118">
        <f>SUM(F19:F21)+SUM(D19:D21)</f>
        <v>0</v>
      </c>
      <c r="E22" s="45" t="s">
        <v>18</v>
      </c>
      <c r="F22" s="118">
        <f>VLOOKUP(H15,工资计算器!$B$3:$L$28,10,FALSE)</f>
        <v>253</v>
      </c>
      <c r="G22" s="120" t="s">
        <v>46</v>
      </c>
      <c r="H22" s="119">
        <f>VLOOKUP(H15,工资计算器!$B$3:$L$28,9,FALSE)+F22</f>
        <v>253</v>
      </c>
      <c r="I22" s="67"/>
    </row>
    <row r="23" spans="2:9" s="16" customFormat="1" ht="15" customHeight="1" x14ac:dyDescent="0.2">
      <c r="B23" s="55"/>
      <c r="C23" s="46"/>
      <c r="D23" s="47"/>
      <c r="E23" s="77"/>
      <c r="F23" s="47"/>
      <c r="G23" s="78" t="s">
        <v>20</v>
      </c>
      <c r="H23" s="119">
        <f>VLOOKUP(H15,工资计算器!$B$3:$L$28,11,FALSE)</f>
        <v>-253</v>
      </c>
      <c r="I23" s="67"/>
    </row>
    <row r="24" spans="2:9" ht="13.5" thickBot="1" x14ac:dyDescent="0.25">
      <c r="B24" s="60"/>
      <c r="C24" s="61"/>
      <c r="D24" s="62"/>
      <c r="E24" s="61"/>
      <c r="F24" s="62"/>
      <c r="G24" s="61"/>
      <c r="H24" s="68"/>
      <c r="I24" s="63"/>
    </row>
    <row r="25" spans="2:9" ht="14.25" thickTop="1" thickBot="1" x14ac:dyDescent="0.25"/>
    <row r="26" spans="2:9" s="39" customFormat="1" ht="38.1" customHeight="1" thickTop="1" x14ac:dyDescent="0.2">
      <c r="B26" s="64"/>
      <c r="C26" s="52" t="s">
        <v>24</v>
      </c>
      <c r="D26" s="65"/>
      <c r="E26" s="65"/>
      <c r="F26" s="65"/>
      <c r="G26" s="65"/>
      <c r="H26" s="65"/>
      <c r="I26" s="66"/>
    </row>
    <row r="27" spans="2:9" s="16" customFormat="1" ht="18" customHeight="1" x14ac:dyDescent="0.2">
      <c r="B27" s="55"/>
      <c r="C27" s="40" t="s">
        <v>25</v>
      </c>
      <c r="D27" s="79">
        <f>工资计算器!$L$2</f>
        <v>38018</v>
      </c>
      <c r="E27" s="41" t="s">
        <v>26</v>
      </c>
      <c r="F27" s="82">
        <f>VLOOKUP(H27,员工信息!$B$4:$N$28,2,FALSE)</f>
        <v>0</v>
      </c>
      <c r="G27" s="42" t="s">
        <v>27</v>
      </c>
      <c r="H27" s="84">
        <v>3</v>
      </c>
      <c r="I27" s="56"/>
    </row>
    <row r="28" spans="2:9" s="16" customFormat="1" ht="9" customHeight="1" x14ac:dyDescent="0.2">
      <c r="B28" s="55"/>
      <c r="C28" s="48"/>
      <c r="D28" s="80"/>
      <c r="E28" s="48"/>
      <c r="F28" s="83"/>
      <c r="G28" s="49"/>
      <c r="H28" s="49"/>
      <c r="I28" s="56"/>
    </row>
    <row r="29" spans="2:9" s="16" customFormat="1" ht="18" customHeight="1" x14ac:dyDescent="0.2">
      <c r="B29" s="55"/>
      <c r="C29" s="43" t="s">
        <v>2</v>
      </c>
      <c r="D29" s="81">
        <f>VLOOKUP(H27,员工信息!$B$4:$N$28,4,FALSE)</f>
        <v>0</v>
      </c>
      <c r="E29" s="45" t="s">
        <v>3</v>
      </c>
      <c r="F29" s="81">
        <f>VLOOKUP(H27,员工信息!$B$4:$N$28,5,FALSE)</f>
        <v>0</v>
      </c>
      <c r="G29" s="50" t="s">
        <v>32</v>
      </c>
      <c r="H29" s="85">
        <f>VLOOKUP(H27,工资计算器!$B$3:$L$28,3,FALSE)</f>
        <v>0</v>
      </c>
      <c r="I29" s="56"/>
    </row>
    <row r="30" spans="2:9" s="16" customFormat="1" ht="18" customHeight="1" x14ac:dyDescent="0.2">
      <c r="B30" s="55"/>
      <c r="C30" s="44" t="s">
        <v>1</v>
      </c>
      <c r="D30" s="118">
        <f>VLOOKUP(H27,员工信息!$B$4:$N$28,3,FALSE)</f>
        <v>0</v>
      </c>
      <c r="E30" s="45" t="s">
        <v>28</v>
      </c>
      <c r="F30" s="118">
        <f>VLOOKUP(H27,工资计算器!$B$3:$L$28,7,FALSE)</f>
        <v>0</v>
      </c>
      <c r="G30" s="45" t="s">
        <v>29</v>
      </c>
      <c r="H30" s="85">
        <f>VLOOKUP(H27,工资计算器!$B$3:$L$28,5,FALSE)</f>
        <v>0</v>
      </c>
      <c r="I30" s="56"/>
    </row>
    <row r="31" spans="2:9" s="16" customFormat="1" ht="18" customHeight="1" x14ac:dyDescent="0.2">
      <c r="B31" s="55"/>
      <c r="C31" s="43" t="s">
        <v>35</v>
      </c>
      <c r="D31" s="118">
        <f>VLOOKUP(H27,员工信息!$B$4:$N$28,8,FALSE)*H33</f>
        <v>0</v>
      </c>
      <c r="E31" s="120" t="s">
        <v>39</v>
      </c>
      <c r="F31" s="118">
        <f>VLOOKUP(H27,员工信息!$B$4:$N$28,7,FALSE)*H33</f>
        <v>0</v>
      </c>
      <c r="G31" s="45" t="s">
        <v>30</v>
      </c>
      <c r="H31" s="85">
        <f>VLOOKUP(H27,工资计算器!$B$3:$L$28,4,FALSE)</f>
        <v>0</v>
      </c>
      <c r="I31" s="56"/>
    </row>
    <row r="32" spans="2:9" s="16" customFormat="1" ht="18" customHeight="1" x14ac:dyDescent="0.2">
      <c r="B32" s="55"/>
      <c r="C32" s="43" t="s">
        <v>36</v>
      </c>
      <c r="D32" s="118">
        <f>VLOOKUP(H27,员工信息!$B$4:$N$28,9,FALSE)*H33</f>
        <v>0</v>
      </c>
      <c r="E32" s="45" t="s">
        <v>34</v>
      </c>
      <c r="F32" s="118">
        <f>VLOOKUP(H27,员工信息!$B$4:$N$28,6,FALSE)*H33</f>
        <v>0</v>
      </c>
      <c r="G32" s="45" t="s">
        <v>31</v>
      </c>
      <c r="H32" s="85">
        <f>VLOOKUP(H27,工资计算器!$B$3:$L$28,6,FALSE)</f>
        <v>0</v>
      </c>
      <c r="I32" s="56"/>
    </row>
    <row r="33" spans="2:9" s="16" customFormat="1" ht="18" customHeight="1" x14ac:dyDescent="0.2">
      <c r="B33" s="55"/>
      <c r="C33" s="121" t="s">
        <v>45</v>
      </c>
      <c r="D33" s="118">
        <f>VLOOKUP(H27,员工信息!$B$4:$N$28,11,FALSE)</f>
        <v>0</v>
      </c>
      <c r="E33" s="45" t="s">
        <v>33</v>
      </c>
      <c r="F33" s="118">
        <f>VLOOKUP(H27,员工信息!$B$4:$N$28,12,FALSE)</f>
        <v>0</v>
      </c>
      <c r="G33" s="45" t="s">
        <v>16</v>
      </c>
      <c r="H33" s="119">
        <f>VLOOKUP(H27,工资计算器!$B$3:$L$28,8,FALSE)</f>
        <v>0</v>
      </c>
      <c r="I33" s="67"/>
    </row>
    <row r="34" spans="2:9" s="16" customFormat="1" ht="30" customHeight="1" x14ac:dyDescent="0.2">
      <c r="B34" s="55"/>
      <c r="C34" s="121" t="s">
        <v>49</v>
      </c>
      <c r="D34" s="118">
        <f>SUM(F31:F33)+SUM(D31:D33)</f>
        <v>0</v>
      </c>
      <c r="E34" s="45" t="s">
        <v>18</v>
      </c>
      <c r="F34" s="118">
        <f>VLOOKUP(H27,工资计算器!$B$3:$L$28,10,FALSE)</f>
        <v>0</v>
      </c>
      <c r="G34" s="120" t="s">
        <v>46</v>
      </c>
      <c r="H34" s="119">
        <f>VLOOKUP(H27,工资计算器!$B$3:$L$28,9,FALSE)+F34</f>
        <v>0</v>
      </c>
      <c r="I34" s="67"/>
    </row>
    <row r="35" spans="2:9" s="16" customFormat="1" ht="15" customHeight="1" x14ac:dyDescent="0.2">
      <c r="B35" s="55"/>
      <c r="C35" s="46"/>
      <c r="D35" s="47"/>
      <c r="E35" s="46"/>
      <c r="F35" s="47"/>
      <c r="G35" s="78" t="s">
        <v>20</v>
      </c>
      <c r="H35" s="119">
        <f>VLOOKUP(H27,工资计算器!$B$3:$L$28,11,FALSE)</f>
        <v>0</v>
      </c>
      <c r="I35" s="67"/>
    </row>
    <row r="36" spans="2:9" s="16" customFormat="1" thickBot="1" x14ac:dyDescent="0.25">
      <c r="B36" s="69"/>
      <c r="C36" s="70"/>
      <c r="D36" s="71"/>
      <c r="E36" s="70"/>
      <c r="F36" s="71"/>
      <c r="G36" s="72"/>
      <c r="H36" s="73"/>
      <c r="I36" s="74"/>
    </row>
    <row r="37" spans="2:9" ht="14.25" thickTop="1" thickBot="1" x14ac:dyDescent="0.25"/>
    <row r="38" spans="2:9" s="39" customFormat="1" ht="38.1" customHeight="1" thickTop="1" x14ac:dyDescent="0.2">
      <c r="B38" s="64"/>
      <c r="C38" s="52" t="s">
        <v>24</v>
      </c>
      <c r="D38" s="65"/>
      <c r="E38" s="65"/>
      <c r="F38" s="65"/>
      <c r="G38" s="65"/>
      <c r="H38" s="65"/>
      <c r="I38" s="66"/>
    </row>
    <row r="39" spans="2:9" s="16" customFormat="1" ht="18" customHeight="1" x14ac:dyDescent="0.2">
      <c r="B39" s="55"/>
      <c r="C39" s="40" t="s">
        <v>25</v>
      </c>
      <c r="D39" s="79">
        <f>工资计算器!$L$2</f>
        <v>38018</v>
      </c>
      <c r="E39" s="41" t="s">
        <v>26</v>
      </c>
      <c r="F39" s="82">
        <f>VLOOKUP(H39,员工信息!$B$4:$N$28,2,FALSE)</f>
        <v>0</v>
      </c>
      <c r="G39" s="42" t="s">
        <v>27</v>
      </c>
      <c r="H39" s="84">
        <v>4</v>
      </c>
      <c r="I39" s="56"/>
    </row>
    <row r="40" spans="2:9" s="16" customFormat="1" ht="9" customHeight="1" x14ac:dyDescent="0.2">
      <c r="B40" s="55"/>
      <c r="C40" s="48"/>
      <c r="D40" s="80"/>
      <c r="E40" s="48"/>
      <c r="F40" s="83"/>
      <c r="G40" s="49"/>
      <c r="H40" s="49"/>
      <c r="I40" s="56"/>
    </row>
    <row r="41" spans="2:9" s="16" customFormat="1" ht="18" customHeight="1" x14ac:dyDescent="0.2">
      <c r="B41" s="55"/>
      <c r="C41" s="43" t="s">
        <v>2</v>
      </c>
      <c r="D41" s="81">
        <f>VLOOKUP(H39,员工信息!$B$4:$N$28,4,FALSE)</f>
        <v>0</v>
      </c>
      <c r="E41" s="45" t="s">
        <v>3</v>
      </c>
      <c r="F41" s="81">
        <f>VLOOKUP(H39,员工信息!$B$4:$N$28,5,FALSE)</f>
        <v>0</v>
      </c>
      <c r="G41" s="50" t="s">
        <v>32</v>
      </c>
      <c r="H41" s="85">
        <f>VLOOKUP(H39,工资计算器!$B$3:$L$28,3,FALSE)</f>
        <v>0</v>
      </c>
      <c r="I41" s="56"/>
    </row>
    <row r="42" spans="2:9" s="16" customFormat="1" ht="18" customHeight="1" x14ac:dyDescent="0.2">
      <c r="B42" s="55"/>
      <c r="C42" s="44" t="s">
        <v>1</v>
      </c>
      <c r="D42" s="118">
        <f>VLOOKUP(H39,员工信息!$B$4:$N$28,3,FALSE)</f>
        <v>0</v>
      </c>
      <c r="E42" s="45" t="s">
        <v>28</v>
      </c>
      <c r="F42" s="118">
        <f>VLOOKUP(H39,工资计算器!$B$3:$L$28,7,FALSE)</f>
        <v>0</v>
      </c>
      <c r="G42" s="45" t="s">
        <v>29</v>
      </c>
      <c r="H42" s="85">
        <f>VLOOKUP(H39,工资计算器!$B$3:$L$28,5,FALSE)</f>
        <v>0</v>
      </c>
      <c r="I42" s="56"/>
    </row>
    <row r="43" spans="2:9" s="16" customFormat="1" ht="18" customHeight="1" x14ac:dyDescent="0.2">
      <c r="B43" s="55"/>
      <c r="C43" s="43" t="s">
        <v>35</v>
      </c>
      <c r="D43" s="118">
        <f>VLOOKUP(H39,员工信息!$B$4:$N$28,8,FALSE)*H45</f>
        <v>0</v>
      </c>
      <c r="E43" s="120" t="s">
        <v>39</v>
      </c>
      <c r="F43" s="118">
        <f>VLOOKUP(H39,员工信息!$B$4:$N$28,7,FALSE)*H45</f>
        <v>0</v>
      </c>
      <c r="G43" s="45" t="s">
        <v>30</v>
      </c>
      <c r="H43" s="85">
        <f>VLOOKUP(H39,工资计算器!$B$3:$L$28,4,FALSE)</f>
        <v>0</v>
      </c>
      <c r="I43" s="56"/>
    </row>
    <row r="44" spans="2:9" s="16" customFormat="1" ht="18" customHeight="1" x14ac:dyDescent="0.2">
      <c r="B44" s="55"/>
      <c r="C44" s="43" t="s">
        <v>36</v>
      </c>
      <c r="D44" s="118">
        <f>VLOOKUP(H39,员工信息!$B$4:$N$28,9,FALSE)*H45</f>
        <v>0</v>
      </c>
      <c r="E44" s="45" t="s">
        <v>34</v>
      </c>
      <c r="F44" s="118">
        <f>VLOOKUP(H39,员工信息!$B$4:$N$28,6,FALSE)*H45</f>
        <v>0</v>
      </c>
      <c r="G44" s="45" t="s">
        <v>31</v>
      </c>
      <c r="H44" s="85">
        <f>VLOOKUP(H39,工资计算器!$B$3:$L$28,6,FALSE)</f>
        <v>0</v>
      </c>
      <c r="I44" s="56"/>
    </row>
    <row r="45" spans="2:9" s="16" customFormat="1" ht="18" customHeight="1" x14ac:dyDescent="0.2">
      <c r="B45" s="55"/>
      <c r="C45" s="121" t="s">
        <v>45</v>
      </c>
      <c r="D45" s="118">
        <f>VLOOKUP(H39,员工信息!$B$4:$N$28,11,FALSE)</f>
        <v>0</v>
      </c>
      <c r="E45" s="45" t="s">
        <v>33</v>
      </c>
      <c r="F45" s="118">
        <f>VLOOKUP(H39,员工信息!$B$4:$N$28,12,FALSE)</f>
        <v>0</v>
      </c>
      <c r="G45" s="45" t="s">
        <v>16</v>
      </c>
      <c r="H45" s="119">
        <f>VLOOKUP(H39,工资计算器!$B$3:$L$28,8,FALSE)</f>
        <v>0</v>
      </c>
      <c r="I45" s="67"/>
    </row>
    <row r="46" spans="2:9" s="16" customFormat="1" ht="30" customHeight="1" x14ac:dyDescent="0.2">
      <c r="B46" s="55"/>
      <c r="C46" s="121" t="s">
        <v>49</v>
      </c>
      <c r="D46" s="118">
        <f>SUM(F43:F45)+SUM(D43:D45)</f>
        <v>0</v>
      </c>
      <c r="E46" s="45" t="s">
        <v>18</v>
      </c>
      <c r="F46" s="118">
        <f>VLOOKUP(H39,工资计算器!$B$3:$L$28,10,FALSE)</f>
        <v>0</v>
      </c>
      <c r="G46" s="120" t="s">
        <v>46</v>
      </c>
      <c r="H46" s="119">
        <f>VLOOKUP(H39,工资计算器!$B$3:$L$28,9,FALSE)+F46</f>
        <v>0</v>
      </c>
      <c r="I46" s="67"/>
    </row>
    <row r="47" spans="2:9" s="16" customFormat="1" ht="15" customHeight="1" x14ac:dyDescent="0.2">
      <c r="B47" s="55"/>
      <c r="C47" s="76"/>
      <c r="D47" s="75"/>
      <c r="E47" s="76"/>
      <c r="F47" s="75"/>
      <c r="G47" s="78" t="s">
        <v>20</v>
      </c>
      <c r="H47" s="119">
        <f>VLOOKUP(H39,工资计算器!$B$3:$L$28,11,FALSE)</f>
        <v>0</v>
      </c>
      <c r="I47" s="67"/>
    </row>
    <row r="48" spans="2:9" ht="13.5" thickBot="1" x14ac:dyDescent="0.25">
      <c r="B48" s="60"/>
      <c r="C48" s="61"/>
      <c r="D48" s="62"/>
      <c r="E48" s="61"/>
      <c r="F48" s="62"/>
      <c r="G48" s="61"/>
      <c r="H48" s="68"/>
      <c r="I48" s="63"/>
    </row>
    <row r="49" ht="13.5" thickTop="1" x14ac:dyDescent="0.2"/>
  </sheetData>
  <phoneticPr fontId="3" type="noConversion"/>
  <printOptions horizontalCentered="1"/>
  <pageMargins left="0.75" right="0.75" top="1" bottom="1" header="0.5" footer="0.5"/>
  <pageSetup scale="73" orientation="portrait" r:id="rId1"/>
  <headerFooter alignWithMargins="0"/>
  <ignoredErrors>
    <ignoredError sqref="F3 D5:D9 F5:F10 H5:H11 F15 D17:D21 F17:F22 H17:H23 F27 D29:D33 F29:F34 H29:H35 F39 D41:D45 F41:F46 H41:H47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员工信息</vt:lpstr>
      <vt:lpstr>工资计算器</vt:lpstr>
      <vt:lpstr>个人工资单</vt:lpstr>
      <vt:lpstr>工资计算器!Print_Area</vt:lpstr>
      <vt:lpstr>员工信息!Print_Area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2004-01-26T19:49:39Z</cp:lastPrinted>
  <dcterms:created xsi:type="dcterms:W3CDTF">2002-04-09T18:32:28Z</dcterms:created>
  <dcterms:modified xsi:type="dcterms:W3CDTF">2012-06-27T06:31:00Z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TC061011772052</vt:lpwstr>
  </property>
</Properties>
</file>