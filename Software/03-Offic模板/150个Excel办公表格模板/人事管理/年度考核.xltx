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75" yWindow="735" windowWidth="10755" windowHeight="9195" tabRatio="849" firstSheet="3" activeTab="6"/>
  </bookViews>
  <sheets>
    <sheet name="出勤量统计表" sheetId="1" r:id="rId1"/>
    <sheet name="绩效表" sheetId="3" r:id="rId2"/>
    <sheet name="第一季度考核表" sheetId="4" r:id="rId3"/>
    <sheet name="第二季度考核表" sheetId="7" r:id="rId4"/>
    <sheet name="第三季度考核表" sheetId="6" r:id="rId5"/>
    <sheet name="第四季度考核表" sheetId="5" r:id="rId6"/>
    <sheet name="年度考核表" sheetId="2" r:id="rId7"/>
  </sheets>
  <externalReferences>
    <externalReference r:id="rId8"/>
  </externalReferences>
  <definedNames>
    <definedName name="_xlnm._FilterDatabase" localSheetId="6" hidden="1">年度考核表!$A$2:$G$20</definedName>
    <definedName name="出勤表">[1]员工出勤统计表!$A$2:$E$20</definedName>
  </definedNames>
  <calcPr calcId="145621"/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3" i="2"/>
  <c r="G3" i="2" s="1"/>
  <c r="H3" i="2" s="1"/>
  <c r="C3" i="4"/>
  <c r="D3" i="4"/>
  <c r="E3" i="4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3" i="6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3" i="7"/>
  <c r="C4" i="4"/>
  <c r="D4" i="4"/>
  <c r="E4" i="4"/>
  <c r="F4" i="4" s="1"/>
  <c r="C5" i="4"/>
  <c r="D5" i="4"/>
  <c r="E5" i="4"/>
  <c r="C6" i="4"/>
  <c r="D6" i="4"/>
  <c r="E6" i="4"/>
  <c r="C7" i="4"/>
  <c r="D7" i="4"/>
  <c r="E7" i="4"/>
  <c r="C8" i="4"/>
  <c r="D8" i="4"/>
  <c r="E8" i="4"/>
  <c r="C9" i="4"/>
  <c r="D9" i="4"/>
  <c r="E9" i="4"/>
  <c r="C10" i="4"/>
  <c r="D10" i="4"/>
  <c r="E10" i="4"/>
  <c r="C11" i="4"/>
  <c r="D11" i="4"/>
  <c r="E11" i="4"/>
  <c r="C12" i="4"/>
  <c r="D12" i="4"/>
  <c r="E12" i="4"/>
  <c r="C13" i="4"/>
  <c r="D13" i="4"/>
  <c r="E13" i="4"/>
  <c r="C14" i="4"/>
  <c r="D14" i="4"/>
  <c r="E14" i="4"/>
  <c r="C15" i="4"/>
  <c r="D15" i="4"/>
  <c r="E15" i="4"/>
  <c r="C16" i="4"/>
  <c r="D16" i="4"/>
  <c r="E16" i="4"/>
  <c r="C17" i="4"/>
  <c r="D17" i="4"/>
  <c r="E17" i="4"/>
  <c r="C18" i="4"/>
  <c r="D18" i="4"/>
  <c r="E18" i="4"/>
  <c r="C19" i="4"/>
  <c r="D19" i="4"/>
  <c r="E19" i="4"/>
  <c r="C20" i="4"/>
  <c r="D20" i="4"/>
  <c r="E20" i="4"/>
  <c r="G19" i="2" l="1"/>
  <c r="H19" i="2" s="1"/>
  <c r="G17" i="2"/>
  <c r="H17" i="2" s="1"/>
  <c r="G15" i="2"/>
  <c r="H15" i="2" s="1"/>
  <c r="G13" i="2"/>
  <c r="H13" i="2" s="1"/>
  <c r="G11" i="2"/>
  <c r="H11" i="2" s="1"/>
  <c r="G9" i="2"/>
  <c r="H9" i="2" s="1"/>
  <c r="G7" i="2"/>
  <c r="H7" i="2" s="1"/>
  <c r="G5" i="2"/>
  <c r="H5" i="2" s="1"/>
  <c r="G20" i="2"/>
  <c r="H20" i="2" s="1"/>
  <c r="G18" i="2"/>
  <c r="H18" i="2" s="1"/>
  <c r="G16" i="2"/>
  <c r="H16" i="2" s="1"/>
  <c r="G14" i="2"/>
  <c r="H14" i="2" s="1"/>
  <c r="G12" i="2"/>
  <c r="H12" i="2" s="1"/>
  <c r="G10" i="2"/>
  <c r="H10" i="2" s="1"/>
  <c r="G8" i="2"/>
  <c r="H8" i="2" s="1"/>
  <c r="G6" i="2"/>
  <c r="H6" i="2" s="1"/>
  <c r="G4" i="2"/>
  <c r="H4" i="2" s="1"/>
  <c r="F20" i="4"/>
  <c r="F18" i="4"/>
  <c r="F16" i="4"/>
  <c r="F14" i="4"/>
  <c r="F12" i="4"/>
  <c r="F10" i="4"/>
  <c r="F8" i="4"/>
  <c r="F6" i="4"/>
  <c r="F19" i="4"/>
  <c r="F17" i="4"/>
  <c r="F15" i="4"/>
  <c r="F13" i="4"/>
  <c r="F11" i="4"/>
  <c r="F9" i="4"/>
  <c r="F7" i="4"/>
  <c r="F5" i="4"/>
  <c r="F3" i="4"/>
</calcChain>
</file>

<file path=xl/sharedStrings.xml><?xml version="1.0" encoding="utf-8"?>
<sst xmlns="http://schemas.openxmlformats.org/spreadsheetml/2006/main" count="57" uniqueCount="31">
  <si>
    <t>出勤量</t>
    <phoneticPr fontId="1" type="noConversion"/>
  </si>
  <si>
    <t>排名</t>
    <phoneticPr fontId="1" type="noConversion"/>
  </si>
  <si>
    <t>员工编号</t>
    <phoneticPr fontId="1" type="noConversion"/>
  </si>
  <si>
    <t>员工姓名</t>
    <phoneticPr fontId="1" type="noConversion"/>
  </si>
  <si>
    <t>第一季度出勤量</t>
    <phoneticPr fontId="1" type="noConversion"/>
  </si>
  <si>
    <t>第二季度出勤量</t>
    <phoneticPr fontId="1" type="noConversion"/>
  </si>
  <si>
    <t>第三季度出勤量</t>
    <phoneticPr fontId="1" type="noConversion"/>
  </si>
  <si>
    <t>第四季度出勤量</t>
    <phoneticPr fontId="1" type="noConversion"/>
  </si>
  <si>
    <t>出勤量统计表</t>
    <phoneticPr fontId="1" type="noConversion"/>
  </si>
  <si>
    <t>第一季度工作态度</t>
    <phoneticPr fontId="1" type="noConversion"/>
  </si>
  <si>
    <t>第一季度工作能力</t>
    <phoneticPr fontId="1" type="noConversion"/>
  </si>
  <si>
    <t>第二季度工作态度</t>
    <phoneticPr fontId="1" type="noConversion"/>
  </si>
  <si>
    <t>第二季度工作能力</t>
    <phoneticPr fontId="1" type="noConversion"/>
  </si>
  <si>
    <t>第三季度工作态度</t>
    <phoneticPr fontId="1" type="noConversion"/>
  </si>
  <si>
    <t>第三季度工作能力</t>
    <phoneticPr fontId="1" type="noConversion"/>
  </si>
  <si>
    <t>第四季度工作态度</t>
    <phoneticPr fontId="1" type="noConversion"/>
  </si>
  <si>
    <t>第四季度工作能力</t>
    <phoneticPr fontId="1" type="noConversion"/>
  </si>
  <si>
    <t>绩效表</t>
    <phoneticPr fontId="1" type="noConversion"/>
  </si>
  <si>
    <t>员工编号</t>
    <phoneticPr fontId="1" type="noConversion"/>
  </si>
  <si>
    <t>员工姓名</t>
    <phoneticPr fontId="1" type="noConversion"/>
  </si>
  <si>
    <t>工作态度</t>
    <phoneticPr fontId="1" type="noConversion"/>
  </si>
  <si>
    <t>工作能力</t>
    <phoneticPr fontId="1" type="noConversion"/>
  </si>
  <si>
    <t>季度总成绩</t>
    <phoneticPr fontId="1" type="noConversion"/>
  </si>
  <si>
    <t>第一季度考核表</t>
    <phoneticPr fontId="1" type="noConversion"/>
  </si>
  <si>
    <t>第二季度考核表</t>
    <phoneticPr fontId="1" type="noConversion"/>
  </si>
  <si>
    <t>第三季度考核表</t>
    <phoneticPr fontId="1" type="noConversion"/>
  </si>
  <si>
    <t>第四季度考核表</t>
    <phoneticPr fontId="1" type="noConversion"/>
  </si>
  <si>
    <t>年度考核表</t>
    <phoneticPr fontId="1" type="noConversion"/>
  </si>
  <si>
    <t>年度总成绩</t>
    <phoneticPr fontId="1" type="noConversion"/>
  </si>
  <si>
    <t>排名参照标准</t>
    <phoneticPr fontId="1" type="noConversion"/>
  </si>
  <si>
    <t>奖金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</si>
</sst>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\(0.00\)"/>
    <numFmt numFmtId="177" formatCode="&quot;￥&quot;#,##0_);\(&quot;￥&quot;#,##0\)"/>
  </numFmts>
  <fonts count="4" x14ac:knownFonts="1">
    <font>
      <sz val="12"/>
      <name val="宋体"/>
      <charset val="134"/>
    </font>
    <font>
      <sz val="9"/>
      <name val="宋体"/>
      <family val="3"/>
      <charset val="134"/>
    </font>
    <font>
      <sz val="18"/>
      <name val="黑体"/>
      <family val="3"/>
      <charset val="134"/>
    </font>
    <font>
      <sz val="18"/>
      <name val="楷体_GB2312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29">
    <border>
      <left/>
      <right/>
      <top/>
      <bottom/>
      <diagonal/>
    </border>
    <border>
      <left style="medium">
        <color indexed="49"/>
      </left>
      <right style="hair">
        <color indexed="49"/>
      </right>
      <top style="hair">
        <color indexed="49"/>
      </top>
      <bottom style="hair">
        <color indexed="49"/>
      </bottom>
      <diagonal/>
    </border>
    <border>
      <left style="hair">
        <color indexed="49"/>
      </left>
      <right style="hair">
        <color indexed="49"/>
      </right>
      <top style="hair">
        <color indexed="49"/>
      </top>
      <bottom style="hair">
        <color indexed="49"/>
      </bottom>
      <diagonal/>
    </border>
    <border>
      <left style="hair">
        <color indexed="49"/>
      </left>
      <right style="medium">
        <color indexed="49"/>
      </right>
      <top style="hair">
        <color indexed="49"/>
      </top>
      <bottom style="hair">
        <color indexed="49"/>
      </bottom>
      <diagonal/>
    </border>
    <border>
      <left style="medium">
        <color indexed="49"/>
      </left>
      <right style="hair">
        <color indexed="49"/>
      </right>
      <top style="hair">
        <color indexed="49"/>
      </top>
      <bottom style="medium">
        <color indexed="49"/>
      </bottom>
      <diagonal/>
    </border>
    <border>
      <left style="hair">
        <color indexed="49"/>
      </left>
      <right style="hair">
        <color indexed="49"/>
      </right>
      <top style="hair">
        <color indexed="49"/>
      </top>
      <bottom style="medium">
        <color indexed="49"/>
      </bottom>
      <diagonal/>
    </border>
    <border>
      <left style="hair">
        <color indexed="49"/>
      </left>
      <right style="medium">
        <color indexed="49"/>
      </right>
      <top style="hair">
        <color indexed="49"/>
      </top>
      <bottom style="medium">
        <color indexed="49"/>
      </bottom>
      <diagonal/>
    </border>
    <border>
      <left style="hair">
        <color indexed="49"/>
      </left>
      <right style="hair">
        <color indexed="49"/>
      </right>
      <top/>
      <bottom/>
      <diagonal/>
    </border>
    <border>
      <left style="medium">
        <color indexed="40"/>
      </left>
      <right style="hair">
        <color indexed="40"/>
      </right>
      <top style="hair">
        <color indexed="40"/>
      </top>
      <bottom style="hair">
        <color indexed="40"/>
      </bottom>
      <diagonal/>
    </border>
    <border>
      <left style="hair">
        <color indexed="40"/>
      </left>
      <right style="hair">
        <color indexed="40"/>
      </right>
      <top style="hair">
        <color indexed="40"/>
      </top>
      <bottom style="hair">
        <color indexed="40"/>
      </bottom>
      <diagonal/>
    </border>
    <border>
      <left style="hair">
        <color indexed="40"/>
      </left>
      <right style="medium">
        <color indexed="40"/>
      </right>
      <top style="hair">
        <color indexed="40"/>
      </top>
      <bottom style="hair">
        <color indexed="40"/>
      </bottom>
      <diagonal/>
    </border>
    <border>
      <left style="medium">
        <color indexed="40"/>
      </left>
      <right style="hair">
        <color indexed="40"/>
      </right>
      <top style="hair">
        <color indexed="40"/>
      </top>
      <bottom style="medium">
        <color indexed="40"/>
      </bottom>
      <diagonal/>
    </border>
    <border>
      <left style="hair">
        <color indexed="40"/>
      </left>
      <right style="hair">
        <color indexed="40"/>
      </right>
      <top style="hair">
        <color indexed="40"/>
      </top>
      <bottom style="medium">
        <color indexed="40"/>
      </bottom>
      <diagonal/>
    </border>
    <border>
      <left style="hair">
        <color indexed="40"/>
      </left>
      <right style="medium">
        <color indexed="40"/>
      </right>
      <top style="hair">
        <color indexed="40"/>
      </top>
      <bottom style="medium">
        <color indexed="40"/>
      </bottom>
      <diagonal/>
    </border>
    <border>
      <left style="medium">
        <color indexed="12"/>
      </left>
      <right style="hair">
        <color indexed="12"/>
      </right>
      <top style="medium">
        <color indexed="12"/>
      </top>
      <bottom style="hair">
        <color indexed="12"/>
      </bottom>
      <diagonal/>
    </border>
    <border>
      <left style="hair">
        <color indexed="12"/>
      </left>
      <right style="medium">
        <color indexed="12"/>
      </right>
      <top style="medium">
        <color indexed="12"/>
      </top>
      <bottom style="hair">
        <color indexed="12"/>
      </bottom>
      <diagonal/>
    </border>
    <border>
      <left style="medium">
        <color indexed="12"/>
      </left>
      <right style="hair">
        <color indexed="12"/>
      </right>
      <top style="hair">
        <color indexed="12"/>
      </top>
      <bottom style="hair">
        <color indexed="12"/>
      </bottom>
      <diagonal/>
    </border>
    <border>
      <left style="medium">
        <color indexed="12"/>
      </left>
      <right style="hair">
        <color indexed="12"/>
      </right>
      <top style="hair">
        <color indexed="12"/>
      </top>
      <bottom style="medium">
        <color indexed="12"/>
      </bottom>
      <diagonal/>
    </border>
    <border>
      <left style="medium">
        <color indexed="40"/>
      </left>
      <right/>
      <top style="medium">
        <color indexed="40"/>
      </top>
      <bottom style="hair">
        <color indexed="40"/>
      </bottom>
      <diagonal/>
    </border>
    <border>
      <left/>
      <right/>
      <top style="medium">
        <color indexed="40"/>
      </top>
      <bottom style="hair">
        <color indexed="40"/>
      </bottom>
      <diagonal/>
    </border>
    <border>
      <left/>
      <right style="medium">
        <color indexed="40"/>
      </right>
      <top style="medium">
        <color indexed="40"/>
      </top>
      <bottom style="hair">
        <color indexed="40"/>
      </bottom>
      <diagonal/>
    </border>
    <border>
      <left style="hair">
        <color indexed="12"/>
      </left>
      <right style="medium">
        <color indexed="12"/>
      </right>
      <top style="hair">
        <color indexed="12"/>
      </top>
      <bottom style="hair">
        <color indexed="12"/>
      </bottom>
      <diagonal/>
    </border>
    <border>
      <left style="hair">
        <color indexed="12"/>
      </left>
      <right style="medium">
        <color indexed="12"/>
      </right>
      <top style="hair">
        <color indexed="12"/>
      </top>
      <bottom style="medium">
        <color indexed="12"/>
      </bottom>
      <diagonal/>
    </border>
    <border>
      <left style="medium">
        <color indexed="49"/>
      </left>
      <right/>
      <top style="medium">
        <color indexed="49"/>
      </top>
      <bottom style="hair">
        <color indexed="49"/>
      </bottom>
      <diagonal/>
    </border>
    <border>
      <left/>
      <right/>
      <top style="medium">
        <color indexed="49"/>
      </top>
      <bottom style="hair">
        <color indexed="49"/>
      </bottom>
      <diagonal/>
    </border>
    <border>
      <left/>
      <right style="medium">
        <color indexed="49"/>
      </right>
      <top style="medium">
        <color indexed="49"/>
      </top>
      <bottom style="hair">
        <color indexed="49"/>
      </bottom>
      <diagonal/>
    </border>
    <border>
      <left style="medium">
        <color indexed="49"/>
      </left>
      <right style="hair">
        <color indexed="49"/>
      </right>
      <top style="medium">
        <color indexed="49"/>
      </top>
      <bottom style="hair">
        <color indexed="49"/>
      </bottom>
      <diagonal/>
    </border>
    <border>
      <left style="hair">
        <color indexed="49"/>
      </left>
      <right style="hair">
        <color indexed="49"/>
      </right>
      <top style="medium">
        <color indexed="49"/>
      </top>
      <bottom style="hair">
        <color indexed="49"/>
      </bottom>
      <diagonal/>
    </border>
    <border>
      <left style="hair">
        <color indexed="49"/>
      </left>
      <right style="medium">
        <color indexed="49"/>
      </right>
      <top style="medium">
        <color indexed="49"/>
      </top>
      <bottom style="hair">
        <color indexed="49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2" borderId="18" xfId="0" applyFont="1" applyFill="1" applyBorder="1" applyAlignment="1">
      <alignment vertical="center"/>
    </xf>
    <xf numFmtId="0" fontId="3" fillId="2" borderId="19" xfId="0" applyFont="1" applyFill="1" applyBorder="1" applyAlignment="1">
      <alignment vertical="center"/>
    </xf>
    <xf numFmtId="0" fontId="3" fillId="2" borderId="20" xfId="0" applyFont="1" applyFill="1" applyBorder="1" applyAlignment="1">
      <alignment vertical="center"/>
    </xf>
    <xf numFmtId="177" fontId="0" fillId="0" borderId="21" xfId="0" applyNumberFormat="1" applyBorder="1" applyAlignment="1">
      <alignment horizontal="center" vertical="center"/>
    </xf>
    <xf numFmtId="177" fontId="0" fillId="0" borderId="22" xfId="0" applyNumberForma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</cellXfs>
  <cellStyles count="1">
    <cellStyle name="常规" xfId="0" builtinId="0"/>
  </cellStyles>
  <dxfs count="2">
    <dxf>
      <font>
        <b val="0"/>
        <i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6032;/&#31532;13&#31456;/&#24037;&#36164;&#31649;&#29702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员工工资表"/>
      <sheetName val="工资条"/>
      <sheetName val="员工工资详情表"/>
      <sheetName val="员工出勤统计表"/>
      <sheetName val="员工福利表"/>
      <sheetName val="员工奖金表"/>
    </sheetNames>
    <sheetDataSet>
      <sheetData sheetId="0"/>
      <sheetData sheetId="1"/>
      <sheetData sheetId="2"/>
      <sheetData sheetId="3">
        <row r="2">
          <cell r="A2" t="str">
            <v>员工编号</v>
          </cell>
          <cell r="B2" t="str">
            <v>员工姓名</v>
          </cell>
          <cell r="C2" t="str">
            <v>所在部门</v>
          </cell>
          <cell r="D2" t="str">
            <v>请假类别</v>
          </cell>
          <cell r="E2" t="str">
            <v>应扣工资</v>
          </cell>
        </row>
        <row r="3">
          <cell r="A3">
            <v>1001</v>
          </cell>
          <cell r="B3" t="str">
            <v>江雨薇</v>
          </cell>
          <cell r="C3" t="str">
            <v>人事部</v>
          </cell>
          <cell r="D3" t="str">
            <v>病假</v>
          </cell>
          <cell r="E3">
            <v>20</v>
          </cell>
        </row>
        <row r="4">
          <cell r="A4">
            <v>1002</v>
          </cell>
          <cell r="B4" t="str">
            <v>郝思嘉</v>
          </cell>
          <cell r="C4" t="str">
            <v>行政部</v>
          </cell>
          <cell r="D4" t="str">
            <v>事假</v>
          </cell>
          <cell r="E4">
            <v>23</v>
          </cell>
        </row>
        <row r="5">
          <cell r="A5">
            <v>1003</v>
          </cell>
          <cell r="B5" t="str">
            <v>林晓彤</v>
          </cell>
          <cell r="C5" t="str">
            <v>财务部</v>
          </cell>
          <cell r="D5" t="str">
            <v>事假</v>
          </cell>
          <cell r="E5">
            <v>14</v>
          </cell>
        </row>
        <row r="6">
          <cell r="A6">
            <v>1004</v>
          </cell>
          <cell r="B6" t="str">
            <v>曾云儿</v>
          </cell>
          <cell r="C6" t="str">
            <v>销售部</v>
          </cell>
          <cell r="D6" t="str">
            <v>病假</v>
          </cell>
          <cell r="E6">
            <v>8</v>
          </cell>
        </row>
        <row r="7">
          <cell r="A7">
            <v>1005</v>
          </cell>
          <cell r="B7" t="str">
            <v>邱月清</v>
          </cell>
          <cell r="C7" t="str">
            <v>业务部</v>
          </cell>
          <cell r="D7" t="str">
            <v>事假</v>
          </cell>
          <cell r="E7">
            <v>9</v>
          </cell>
        </row>
        <row r="8">
          <cell r="A8">
            <v>1006</v>
          </cell>
          <cell r="B8" t="str">
            <v>沈沉</v>
          </cell>
          <cell r="C8" t="str">
            <v>人事部</v>
          </cell>
          <cell r="D8" t="str">
            <v>事假</v>
          </cell>
          <cell r="E8">
            <v>50</v>
          </cell>
        </row>
        <row r="9">
          <cell r="A9">
            <v>1007</v>
          </cell>
          <cell r="B9" t="str">
            <v>蔡小蓓</v>
          </cell>
          <cell r="C9" t="str">
            <v>行政部</v>
          </cell>
          <cell r="D9" t="str">
            <v>病假</v>
          </cell>
          <cell r="E9">
            <v>36</v>
          </cell>
        </row>
        <row r="10">
          <cell r="A10">
            <v>1008</v>
          </cell>
          <cell r="B10" t="str">
            <v>尹南</v>
          </cell>
          <cell r="C10" t="str">
            <v>财务部</v>
          </cell>
          <cell r="D10" t="str">
            <v>事假</v>
          </cell>
          <cell r="E10">
            <v>40</v>
          </cell>
        </row>
        <row r="11">
          <cell r="A11">
            <v>1009</v>
          </cell>
          <cell r="B11" t="str">
            <v xml:space="preserve"> 陈小旭</v>
          </cell>
          <cell r="C11" t="str">
            <v>销售部</v>
          </cell>
          <cell r="D11" t="str">
            <v>事假</v>
          </cell>
          <cell r="E11">
            <v>60</v>
          </cell>
        </row>
        <row r="12">
          <cell r="A12">
            <v>1010</v>
          </cell>
          <cell r="B12" t="str">
            <v>薛婧</v>
          </cell>
          <cell r="C12" t="str">
            <v>业务部</v>
          </cell>
          <cell r="D12" t="str">
            <v>病假</v>
          </cell>
          <cell r="E12">
            <v>25</v>
          </cell>
        </row>
        <row r="13">
          <cell r="A13">
            <v>1011</v>
          </cell>
          <cell r="B13" t="str">
            <v>萧煜</v>
          </cell>
          <cell r="C13" t="str">
            <v>财务部</v>
          </cell>
          <cell r="D13" t="str">
            <v>事假</v>
          </cell>
          <cell r="E13">
            <v>26</v>
          </cell>
        </row>
        <row r="14">
          <cell r="A14">
            <v>1012</v>
          </cell>
          <cell r="B14" t="str">
            <v>陈露</v>
          </cell>
          <cell r="C14" t="str">
            <v>销售部</v>
          </cell>
          <cell r="D14" t="str">
            <v>病假</v>
          </cell>
          <cell r="E14">
            <v>39</v>
          </cell>
        </row>
        <row r="15">
          <cell r="A15">
            <v>1013</v>
          </cell>
          <cell r="B15" t="str">
            <v>杨清清</v>
          </cell>
          <cell r="C15" t="str">
            <v>业务部</v>
          </cell>
          <cell r="D15" t="str">
            <v>事假</v>
          </cell>
          <cell r="E15">
            <v>48</v>
          </cell>
        </row>
        <row r="16">
          <cell r="A16">
            <v>1014</v>
          </cell>
          <cell r="B16" t="str">
            <v>柳晓琳</v>
          </cell>
          <cell r="C16" t="str">
            <v>人事部</v>
          </cell>
          <cell r="D16" t="str">
            <v>事假</v>
          </cell>
          <cell r="E16">
            <v>52</v>
          </cell>
        </row>
        <row r="17">
          <cell r="A17">
            <v>1015</v>
          </cell>
          <cell r="B17" t="str">
            <v>杜媛媛</v>
          </cell>
          <cell r="C17" t="str">
            <v>行政部</v>
          </cell>
          <cell r="D17" t="str">
            <v>病假</v>
          </cell>
          <cell r="E17">
            <v>16</v>
          </cell>
        </row>
        <row r="18">
          <cell r="A18">
            <v>1016</v>
          </cell>
          <cell r="B18" t="str">
            <v>乔小麦</v>
          </cell>
          <cell r="C18" t="str">
            <v>财务部</v>
          </cell>
          <cell r="D18" t="str">
            <v>事假</v>
          </cell>
          <cell r="E18">
            <v>54</v>
          </cell>
        </row>
        <row r="19">
          <cell r="A19">
            <v>1017</v>
          </cell>
          <cell r="B19" t="str">
            <v>丁欣</v>
          </cell>
          <cell r="C19" t="str">
            <v>销售部</v>
          </cell>
          <cell r="D19" t="str">
            <v>事假</v>
          </cell>
          <cell r="E19">
            <v>16</v>
          </cell>
        </row>
        <row r="20">
          <cell r="A20">
            <v>1018</v>
          </cell>
          <cell r="B20" t="str">
            <v>赵震</v>
          </cell>
          <cell r="C20" t="str">
            <v>业务部</v>
          </cell>
          <cell r="D20" t="str">
            <v>病假</v>
          </cell>
          <cell r="E20">
            <v>49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2"/>
  <sheetViews>
    <sheetView workbookViewId="0">
      <selection activeCell="F3" sqref="F3:F20"/>
    </sheetView>
  </sheetViews>
  <sheetFormatPr defaultRowHeight="14.25" x14ac:dyDescent="0.15"/>
  <cols>
    <col min="3" max="3" width="15" customWidth="1"/>
    <col min="4" max="4" width="15.375" customWidth="1"/>
    <col min="5" max="5" width="15.125" customWidth="1"/>
    <col min="6" max="6" width="15.625" customWidth="1"/>
  </cols>
  <sheetData>
    <row r="1" spans="1:6" ht="26.25" customHeight="1" x14ac:dyDescent="0.15">
      <c r="A1" s="35" t="s">
        <v>8</v>
      </c>
      <c r="B1" s="36"/>
      <c r="C1" s="36"/>
      <c r="D1" s="36"/>
      <c r="E1" s="36"/>
      <c r="F1" s="37"/>
    </row>
    <row r="2" spans="1:6" x14ac:dyDescent="0.15">
      <c r="A2" s="1" t="s">
        <v>2</v>
      </c>
      <c r="B2" s="2" t="s">
        <v>3</v>
      </c>
      <c r="C2" s="2" t="s">
        <v>4</v>
      </c>
      <c r="D2" s="2" t="s">
        <v>5</v>
      </c>
      <c r="E2" s="2" t="s">
        <v>6</v>
      </c>
      <c r="F2" s="3" t="s">
        <v>7</v>
      </c>
    </row>
    <row r="3" spans="1:6" x14ac:dyDescent="0.15">
      <c r="A3" s="1">
        <v>1001</v>
      </c>
      <c r="B3" s="2"/>
      <c r="C3" s="2"/>
      <c r="D3" s="2"/>
      <c r="E3" s="2"/>
      <c r="F3" s="3"/>
    </row>
    <row r="4" spans="1:6" x14ac:dyDescent="0.15">
      <c r="A4" s="1">
        <v>1002</v>
      </c>
      <c r="B4" s="2"/>
      <c r="C4" s="2"/>
      <c r="D4" s="2"/>
      <c r="E4" s="2"/>
      <c r="F4" s="3"/>
    </row>
    <row r="5" spans="1:6" x14ac:dyDescent="0.15">
      <c r="A5" s="1">
        <v>1003</v>
      </c>
      <c r="B5" s="2"/>
      <c r="C5" s="2"/>
      <c r="D5" s="2"/>
      <c r="E5" s="2"/>
      <c r="F5" s="3"/>
    </row>
    <row r="6" spans="1:6" x14ac:dyDescent="0.15">
      <c r="A6" s="1">
        <v>1004</v>
      </c>
      <c r="B6" s="2"/>
      <c r="C6" s="2"/>
      <c r="D6" s="2"/>
      <c r="E6" s="2"/>
      <c r="F6" s="3"/>
    </row>
    <row r="7" spans="1:6" x14ac:dyDescent="0.15">
      <c r="A7" s="1">
        <v>1005</v>
      </c>
      <c r="B7" s="2"/>
      <c r="C7" s="2"/>
      <c r="D7" s="2"/>
      <c r="E7" s="2"/>
      <c r="F7" s="3"/>
    </row>
    <row r="8" spans="1:6" x14ac:dyDescent="0.15">
      <c r="A8" s="1">
        <v>1006</v>
      </c>
      <c r="B8" s="2"/>
      <c r="C8" s="2"/>
      <c r="D8" s="2"/>
      <c r="E8" s="2"/>
      <c r="F8" s="3"/>
    </row>
    <row r="9" spans="1:6" x14ac:dyDescent="0.15">
      <c r="A9" s="1">
        <v>1007</v>
      </c>
      <c r="B9" s="2"/>
      <c r="C9" s="2"/>
      <c r="D9" s="2"/>
      <c r="E9" s="2"/>
      <c r="F9" s="3"/>
    </row>
    <row r="10" spans="1:6" x14ac:dyDescent="0.15">
      <c r="A10" s="1">
        <v>1008</v>
      </c>
      <c r="B10" s="2"/>
      <c r="C10" s="2"/>
      <c r="D10" s="2"/>
      <c r="E10" s="2"/>
      <c r="F10" s="3"/>
    </row>
    <row r="11" spans="1:6" x14ac:dyDescent="0.15">
      <c r="A11" s="1">
        <v>1009</v>
      </c>
      <c r="B11" s="2"/>
      <c r="C11" s="2"/>
      <c r="D11" s="2"/>
      <c r="E11" s="2"/>
      <c r="F11" s="3"/>
    </row>
    <row r="12" spans="1:6" x14ac:dyDescent="0.15">
      <c r="A12" s="1">
        <v>1010</v>
      </c>
      <c r="B12" s="2"/>
      <c r="C12" s="2"/>
      <c r="D12" s="2"/>
      <c r="E12" s="2"/>
      <c r="F12" s="3"/>
    </row>
    <row r="13" spans="1:6" x14ac:dyDescent="0.15">
      <c r="A13" s="1">
        <v>1011</v>
      </c>
      <c r="B13" s="2"/>
      <c r="C13" s="2"/>
      <c r="D13" s="2"/>
      <c r="E13" s="2"/>
      <c r="F13" s="3"/>
    </row>
    <row r="14" spans="1:6" x14ac:dyDescent="0.15">
      <c r="A14" s="1">
        <v>1012</v>
      </c>
      <c r="B14" s="2"/>
      <c r="C14" s="2"/>
      <c r="D14" s="2"/>
      <c r="E14" s="2"/>
      <c r="F14" s="3"/>
    </row>
    <row r="15" spans="1:6" x14ac:dyDescent="0.15">
      <c r="A15" s="1">
        <v>1013</v>
      </c>
      <c r="B15" s="2"/>
      <c r="C15" s="2"/>
      <c r="D15" s="2"/>
      <c r="E15" s="2"/>
      <c r="F15" s="3"/>
    </row>
    <row r="16" spans="1:6" x14ac:dyDescent="0.15">
      <c r="A16" s="1">
        <v>1014</v>
      </c>
      <c r="B16" s="2"/>
      <c r="C16" s="2"/>
      <c r="D16" s="2"/>
      <c r="E16" s="2"/>
      <c r="F16" s="3"/>
    </row>
    <row r="17" spans="1:6" x14ac:dyDescent="0.15">
      <c r="A17" s="1">
        <v>1015</v>
      </c>
      <c r="B17" s="2"/>
      <c r="C17" s="2"/>
      <c r="D17" s="2"/>
      <c r="E17" s="2"/>
      <c r="F17" s="3"/>
    </row>
    <row r="18" spans="1:6" x14ac:dyDescent="0.15">
      <c r="A18" s="1">
        <v>1016</v>
      </c>
      <c r="B18" s="2"/>
      <c r="C18" s="2"/>
      <c r="D18" s="2"/>
      <c r="E18" s="2"/>
      <c r="F18" s="3"/>
    </row>
    <row r="19" spans="1:6" x14ac:dyDescent="0.15">
      <c r="A19" s="1">
        <v>1017</v>
      </c>
      <c r="B19" s="2"/>
      <c r="C19" s="2"/>
      <c r="D19" s="2"/>
      <c r="E19" s="2"/>
      <c r="F19" s="3"/>
    </row>
    <row r="20" spans="1:6" ht="15" thickBot="1" x14ac:dyDescent="0.2">
      <c r="A20" s="4">
        <v>1018</v>
      </c>
      <c r="B20" s="5"/>
      <c r="C20" s="5"/>
      <c r="D20" s="5"/>
      <c r="E20" s="5"/>
      <c r="F20" s="6"/>
    </row>
    <row r="21" spans="1:6" x14ac:dyDescent="0.15">
      <c r="C21" s="15"/>
      <c r="E21" s="15"/>
    </row>
    <row r="22" spans="1:6" x14ac:dyDescent="0.15">
      <c r="E22" s="15"/>
    </row>
  </sheetData>
  <mergeCells count="1">
    <mergeCell ref="A1:F1"/>
  </mergeCells>
  <phoneticPr fontId="1" type="noConversion"/>
  <pageMargins left="0.75" right="0.75" top="1" bottom="1" header="0.5" footer="0.5"/>
  <pageSetup paperSize="9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0"/>
  <sheetViews>
    <sheetView topLeftCell="E1" workbookViewId="0">
      <selection activeCell="J3" sqref="J3:J20"/>
    </sheetView>
  </sheetViews>
  <sheetFormatPr defaultRowHeight="14.25" x14ac:dyDescent="0.15"/>
  <cols>
    <col min="1" max="1" width="9.375" customWidth="1"/>
    <col min="2" max="2" width="9.625" customWidth="1"/>
    <col min="3" max="4" width="10.5" customWidth="1"/>
    <col min="5" max="5" width="9.875" customWidth="1"/>
    <col min="6" max="6" width="10.375" customWidth="1"/>
    <col min="7" max="7" width="9.875" customWidth="1"/>
    <col min="8" max="8" width="9.25" customWidth="1"/>
  </cols>
  <sheetData>
    <row r="1" spans="1:14" ht="22.5" customHeight="1" x14ac:dyDescent="0.15">
      <c r="A1" s="38" t="s">
        <v>17</v>
      </c>
      <c r="B1" s="39"/>
      <c r="C1" s="39"/>
      <c r="D1" s="39"/>
      <c r="E1" s="39"/>
      <c r="F1" s="39"/>
      <c r="G1" s="39"/>
      <c r="H1" s="39"/>
      <c r="I1" s="39"/>
      <c r="J1" s="40"/>
    </row>
    <row r="2" spans="1:14" ht="28.5" x14ac:dyDescent="0.15">
      <c r="A2" s="7" t="s">
        <v>2</v>
      </c>
      <c r="B2" s="8" t="s">
        <v>3</v>
      </c>
      <c r="C2" s="8" t="s">
        <v>9</v>
      </c>
      <c r="D2" s="8" t="s">
        <v>10</v>
      </c>
      <c r="E2" s="8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10" t="s">
        <v>16</v>
      </c>
      <c r="K2" s="9"/>
      <c r="N2" s="9"/>
    </row>
    <row r="3" spans="1:14" x14ac:dyDescent="0.15">
      <c r="A3" s="1">
        <v>1001</v>
      </c>
      <c r="B3" s="2"/>
      <c r="C3" s="11"/>
      <c r="D3" s="11"/>
      <c r="E3" s="11"/>
      <c r="F3" s="11"/>
      <c r="G3" s="11"/>
      <c r="H3" s="11"/>
      <c r="I3" s="11"/>
      <c r="J3" s="12"/>
    </row>
    <row r="4" spans="1:14" x14ac:dyDescent="0.15">
      <c r="A4" s="1">
        <v>1002</v>
      </c>
      <c r="B4" s="2"/>
      <c r="C4" s="11"/>
      <c r="D4" s="11"/>
      <c r="E4" s="11"/>
      <c r="F4" s="11"/>
      <c r="G4" s="11"/>
      <c r="H4" s="11"/>
      <c r="I4" s="11"/>
      <c r="J4" s="12"/>
    </row>
    <row r="5" spans="1:14" x14ac:dyDescent="0.15">
      <c r="A5" s="1">
        <v>1003</v>
      </c>
      <c r="B5" s="2"/>
      <c r="C5" s="11"/>
      <c r="D5" s="11"/>
      <c r="E5" s="11"/>
      <c r="F5" s="11"/>
      <c r="G5" s="11"/>
      <c r="H5" s="11"/>
      <c r="I5" s="11"/>
      <c r="J5" s="12"/>
    </row>
    <row r="6" spans="1:14" x14ac:dyDescent="0.15">
      <c r="A6" s="1">
        <v>1004</v>
      </c>
      <c r="B6" s="2"/>
      <c r="C6" s="11"/>
      <c r="D6" s="11"/>
      <c r="E6" s="11"/>
      <c r="F6" s="11"/>
      <c r="G6" s="11"/>
      <c r="H6" s="11"/>
      <c r="I6" s="11"/>
      <c r="J6" s="12"/>
    </row>
    <row r="7" spans="1:14" x14ac:dyDescent="0.15">
      <c r="A7" s="1">
        <v>1005</v>
      </c>
      <c r="B7" s="2"/>
      <c r="C7" s="11"/>
      <c r="D7" s="11"/>
      <c r="E7" s="11"/>
      <c r="F7" s="11"/>
      <c r="G7" s="11"/>
      <c r="H7" s="11"/>
      <c r="I7" s="11"/>
      <c r="J7" s="12"/>
    </row>
    <row r="8" spans="1:14" x14ac:dyDescent="0.15">
      <c r="A8" s="1">
        <v>1006</v>
      </c>
      <c r="B8" s="2"/>
      <c r="C8" s="11"/>
      <c r="D8" s="11"/>
      <c r="E8" s="11"/>
      <c r="F8" s="11"/>
      <c r="G8" s="11"/>
      <c r="H8" s="11"/>
      <c r="I8" s="11"/>
      <c r="J8" s="12"/>
    </row>
    <row r="9" spans="1:14" x14ac:dyDescent="0.15">
      <c r="A9" s="1">
        <v>1007</v>
      </c>
      <c r="B9" s="2"/>
      <c r="C9" s="11"/>
      <c r="D9" s="11"/>
      <c r="E9" s="11"/>
      <c r="F9" s="11"/>
      <c r="G9" s="11"/>
      <c r="H9" s="11"/>
      <c r="I9" s="11"/>
      <c r="J9" s="12"/>
    </row>
    <row r="10" spans="1:14" x14ac:dyDescent="0.15">
      <c r="A10" s="1">
        <v>1008</v>
      </c>
      <c r="B10" s="2"/>
      <c r="C10" s="11"/>
      <c r="D10" s="11"/>
      <c r="E10" s="11"/>
      <c r="F10" s="11"/>
      <c r="G10" s="11"/>
      <c r="H10" s="11"/>
      <c r="I10" s="11"/>
      <c r="J10" s="12"/>
    </row>
    <row r="11" spans="1:14" x14ac:dyDescent="0.15">
      <c r="A11" s="1">
        <v>1009</v>
      </c>
      <c r="B11" s="2"/>
      <c r="C11" s="11"/>
      <c r="D11" s="11"/>
      <c r="E11" s="11"/>
      <c r="F11" s="11"/>
      <c r="G11" s="11"/>
      <c r="H11" s="11"/>
      <c r="I11" s="11"/>
      <c r="J11" s="12"/>
    </row>
    <row r="12" spans="1:14" x14ac:dyDescent="0.15">
      <c r="A12" s="1">
        <v>1010</v>
      </c>
      <c r="B12" s="2"/>
      <c r="C12" s="11"/>
      <c r="D12" s="11"/>
      <c r="E12" s="11"/>
      <c r="F12" s="11"/>
      <c r="G12" s="11"/>
      <c r="H12" s="11"/>
      <c r="I12" s="11"/>
      <c r="J12" s="12"/>
    </row>
    <row r="13" spans="1:14" x14ac:dyDescent="0.15">
      <c r="A13" s="1">
        <v>1011</v>
      </c>
      <c r="B13" s="2"/>
      <c r="C13" s="11"/>
      <c r="D13" s="11"/>
      <c r="E13" s="11"/>
      <c r="F13" s="11"/>
      <c r="G13" s="11"/>
      <c r="H13" s="11"/>
      <c r="I13" s="11"/>
      <c r="J13" s="12"/>
    </row>
    <row r="14" spans="1:14" x14ac:dyDescent="0.15">
      <c r="A14" s="1">
        <v>1012</v>
      </c>
      <c r="B14" s="2"/>
      <c r="C14" s="11"/>
      <c r="D14" s="11"/>
      <c r="E14" s="11"/>
      <c r="F14" s="11"/>
      <c r="G14" s="11"/>
      <c r="H14" s="11"/>
      <c r="I14" s="11"/>
      <c r="J14" s="12"/>
    </row>
    <row r="15" spans="1:14" x14ac:dyDescent="0.15">
      <c r="A15" s="1">
        <v>1013</v>
      </c>
      <c r="B15" s="2"/>
      <c r="C15" s="11"/>
      <c r="D15" s="11"/>
      <c r="E15" s="11"/>
      <c r="F15" s="11"/>
      <c r="G15" s="11"/>
      <c r="H15" s="11"/>
      <c r="I15" s="11"/>
      <c r="J15" s="12"/>
    </row>
    <row r="16" spans="1:14" x14ac:dyDescent="0.15">
      <c r="A16" s="1">
        <v>1014</v>
      </c>
      <c r="B16" s="2"/>
      <c r="C16" s="11"/>
      <c r="D16" s="11"/>
      <c r="E16" s="11"/>
      <c r="F16" s="11"/>
      <c r="G16" s="11"/>
      <c r="H16" s="11"/>
      <c r="I16" s="11"/>
      <c r="J16" s="12"/>
    </row>
    <row r="17" spans="1:10" x14ac:dyDescent="0.15">
      <c r="A17" s="1">
        <v>1015</v>
      </c>
      <c r="B17" s="2"/>
      <c r="C17" s="11"/>
      <c r="D17" s="11"/>
      <c r="E17" s="11"/>
      <c r="F17" s="11"/>
      <c r="G17" s="11"/>
      <c r="H17" s="11"/>
      <c r="I17" s="11"/>
      <c r="J17" s="12"/>
    </row>
    <row r="18" spans="1:10" x14ac:dyDescent="0.15">
      <c r="A18" s="1">
        <v>1016</v>
      </c>
      <c r="B18" s="2"/>
      <c r="C18" s="11"/>
      <c r="D18" s="11"/>
      <c r="E18" s="11"/>
      <c r="F18" s="11"/>
      <c r="G18" s="11"/>
      <c r="H18" s="11"/>
      <c r="I18" s="11"/>
      <c r="J18" s="12"/>
    </row>
    <row r="19" spans="1:10" x14ac:dyDescent="0.15">
      <c r="A19" s="1">
        <v>1017</v>
      </c>
      <c r="B19" s="2"/>
      <c r="C19" s="11"/>
      <c r="D19" s="11"/>
      <c r="E19" s="11"/>
      <c r="F19" s="11"/>
      <c r="G19" s="11"/>
      <c r="H19" s="11"/>
      <c r="I19" s="11"/>
      <c r="J19" s="12"/>
    </row>
    <row r="20" spans="1:10" ht="15" thickBot="1" x14ac:dyDescent="0.2">
      <c r="A20" s="4">
        <v>1018</v>
      </c>
      <c r="B20" s="5"/>
      <c r="C20" s="13"/>
      <c r="D20" s="13"/>
      <c r="E20" s="13"/>
      <c r="F20" s="13"/>
      <c r="G20" s="13"/>
      <c r="H20" s="13"/>
      <c r="I20" s="13"/>
      <c r="J20" s="14"/>
    </row>
  </sheetData>
  <mergeCells count="1">
    <mergeCell ref="A1:J1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workbookViewId="0">
      <selection activeCell="C23" sqref="C23"/>
    </sheetView>
  </sheetViews>
  <sheetFormatPr defaultRowHeight="14.25" x14ac:dyDescent="0.15"/>
  <cols>
    <col min="6" max="6" width="10.625" customWidth="1"/>
  </cols>
  <sheetData>
    <row r="1" spans="1:6" ht="27.75" customHeight="1" x14ac:dyDescent="0.15">
      <c r="A1" s="41" t="s">
        <v>23</v>
      </c>
      <c r="B1" s="42"/>
      <c r="C1" s="42"/>
      <c r="D1" s="42"/>
      <c r="E1" s="42"/>
      <c r="F1" s="43"/>
    </row>
    <row r="2" spans="1:6" x14ac:dyDescent="0.15">
      <c r="A2" s="16" t="s">
        <v>18</v>
      </c>
      <c r="B2" s="17" t="s">
        <v>19</v>
      </c>
      <c r="C2" s="17" t="s">
        <v>0</v>
      </c>
      <c r="D2" s="17" t="s">
        <v>20</v>
      </c>
      <c r="E2" s="17" t="s">
        <v>21</v>
      </c>
      <c r="F2" s="18" t="s">
        <v>22</v>
      </c>
    </row>
    <row r="3" spans="1:6" x14ac:dyDescent="0.15">
      <c r="A3" s="16">
        <v>1001</v>
      </c>
      <c r="B3" s="17"/>
      <c r="C3" s="17">
        <f>INDEX(出勤量统计表!C2:F20,2,1)</f>
        <v>0</v>
      </c>
      <c r="D3" s="2">
        <f>INDEX(绩效表!C2:J20,2,1)</f>
        <v>0</v>
      </c>
      <c r="E3" s="2">
        <f>INDEX(绩效表!C2:J20,2,2)</f>
        <v>0</v>
      </c>
      <c r="F3" s="18">
        <f>C3*20%+D3*30%+E3*50%</f>
        <v>0</v>
      </c>
    </row>
    <row r="4" spans="1:6" x14ac:dyDescent="0.15">
      <c r="A4" s="16">
        <v>1002</v>
      </c>
      <c r="B4" s="17"/>
      <c r="C4" s="17">
        <f>INDEX(出勤量统计表!C2:F20,3,1)</f>
        <v>0</v>
      </c>
      <c r="D4" s="2">
        <f>INDEX(绩效表!C2:J20,3,1)</f>
        <v>0</v>
      </c>
      <c r="E4" s="2">
        <f>INDEX(绩效表!C2:J20,3,2)</f>
        <v>0</v>
      </c>
      <c r="F4" s="18">
        <f t="shared" ref="F4:F20" si="0">C4*20%+D4*30%+E4*50%</f>
        <v>0</v>
      </c>
    </row>
    <row r="5" spans="1:6" x14ac:dyDescent="0.15">
      <c r="A5" s="16">
        <v>1003</v>
      </c>
      <c r="B5" s="17"/>
      <c r="C5" s="17">
        <f>INDEX(出勤量统计表!C2:F20,4,1)</f>
        <v>0</v>
      </c>
      <c r="D5" s="2">
        <f>INDEX(绩效表!C2:J20,4,1)</f>
        <v>0</v>
      </c>
      <c r="E5" s="2">
        <f>INDEX(绩效表!C2:J20,4,2)</f>
        <v>0</v>
      </c>
      <c r="F5" s="18">
        <f t="shared" si="0"/>
        <v>0</v>
      </c>
    </row>
    <row r="6" spans="1:6" x14ac:dyDescent="0.15">
      <c r="A6" s="16">
        <v>1004</v>
      </c>
      <c r="B6" s="17"/>
      <c r="C6" s="17">
        <f>INDEX(出勤量统计表!C2:F20,5,1)</f>
        <v>0</v>
      </c>
      <c r="D6" s="2">
        <f>INDEX(绩效表!C2:J20,5,1)</f>
        <v>0</v>
      </c>
      <c r="E6" s="2">
        <f>INDEX(绩效表!C2:J20,5,2)</f>
        <v>0</v>
      </c>
      <c r="F6" s="18">
        <f t="shared" si="0"/>
        <v>0</v>
      </c>
    </row>
    <row r="7" spans="1:6" x14ac:dyDescent="0.15">
      <c r="A7" s="16">
        <v>1005</v>
      </c>
      <c r="B7" s="17"/>
      <c r="C7" s="17">
        <f>INDEX(出勤量统计表!C2:F20,6,1)</f>
        <v>0</v>
      </c>
      <c r="D7" s="2">
        <f>INDEX(绩效表!C2:J20,6,1)</f>
        <v>0</v>
      </c>
      <c r="E7" s="2">
        <f>INDEX(绩效表!C2:J20,6,2)</f>
        <v>0</v>
      </c>
      <c r="F7" s="18">
        <f t="shared" si="0"/>
        <v>0</v>
      </c>
    </row>
    <row r="8" spans="1:6" x14ac:dyDescent="0.15">
      <c r="A8" s="16">
        <v>1006</v>
      </c>
      <c r="B8" s="17"/>
      <c r="C8" s="17">
        <f>INDEX(出勤量统计表!C2:F20,7,1)</f>
        <v>0</v>
      </c>
      <c r="D8" s="2">
        <f>INDEX(绩效表!C2:J20,7,1)</f>
        <v>0</v>
      </c>
      <c r="E8" s="2">
        <f>INDEX(绩效表!C2:J20,7,2)</f>
        <v>0</v>
      </c>
      <c r="F8" s="18">
        <f t="shared" si="0"/>
        <v>0</v>
      </c>
    </row>
    <row r="9" spans="1:6" x14ac:dyDescent="0.15">
      <c r="A9" s="16">
        <v>1007</v>
      </c>
      <c r="B9" s="17"/>
      <c r="C9" s="17">
        <f>INDEX(出勤量统计表!C2:F20,8,1)</f>
        <v>0</v>
      </c>
      <c r="D9" s="2">
        <f>INDEX(绩效表!C2:J20,8,1)</f>
        <v>0</v>
      </c>
      <c r="E9" s="2">
        <f>INDEX(绩效表!C2:J20,8,2)</f>
        <v>0</v>
      </c>
      <c r="F9" s="18">
        <f t="shared" si="0"/>
        <v>0</v>
      </c>
    </row>
    <row r="10" spans="1:6" x14ac:dyDescent="0.15">
      <c r="A10" s="16">
        <v>1008</v>
      </c>
      <c r="B10" s="17"/>
      <c r="C10" s="17">
        <f>INDEX(出勤量统计表!C2:F20,9,1)</f>
        <v>0</v>
      </c>
      <c r="D10" s="2">
        <f>INDEX(绩效表!C2:J20,9,1)</f>
        <v>0</v>
      </c>
      <c r="E10" s="2">
        <f>INDEX(绩效表!C2:J20,9,2)</f>
        <v>0</v>
      </c>
      <c r="F10" s="18">
        <f t="shared" si="0"/>
        <v>0</v>
      </c>
    </row>
    <row r="11" spans="1:6" x14ac:dyDescent="0.15">
      <c r="A11" s="16">
        <v>1009</v>
      </c>
      <c r="B11" s="17"/>
      <c r="C11" s="17">
        <f>INDEX(出勤量统计表!C2:F20,10,1)</f>
        <v>0</v>
      </c>
      <c r="D11" s="2">
        <f>INDEX(绩效表!C2:J20,10,1)</f>
        <v>0</v>
      </c>
      <c r="E11" s="2">
        <f>INDEX(绩效表!C2:J20,10,2)</f>
        <v>0</v>
      </c>
      <c r="F11" s="18">
        <f t="shared" si="0"/>
        <v>0</v>
      </c>
    </row>
    <row r="12" spans="1:6" x14ac:dyDescent="0.15">
      <c r="A12" s="16">
        <v>1010</v>
      </c>
      <c r="B12" s="17"/>
      <c r="C12" s="17">
        <f>INDEX(出勤量统计表!C2:F20,11,1)</f>
        <v>0</v>
      </c>
      <c r="D12" s="2">
        <f>INDEX(绩效表!C2:J20,11,1)</f>
        <v>0</v>
      </c>
      <c r="E12" s="2">
        <f>INDEX(绩效表!C2:J20,11,2)</f>
        <v>0</v>
      </c>
      <c r="F12" s="18">
        <f t="shared" si="0"/>
        <v>0</v>
      </c>
    </row>
    <row r="13" spans="1:6" x14ac:dyDescent="0.15">
      <c r="A13" s="16">
        <v>1011</v>
      </c>
      <c r="B13" s="17"/>
      <c r="C13" s="17">
        <f>INDEX(出勤量统计表!C2:F20,12,1)</f>
        <v>0</v>
      </c>
      <c r="D13" s="2">
        <f>INDEX(绩效表!C2:J20,12,1)</f>
        <v>0</v>
      </c>
      <c r="E13" s="2">
        <f>INDEX(绩效表!C2:J20,12,2)</f>
        <v>0</v>
      </c>
      <c r="F13" s="18">
        <f t="shared" si="0"/>
        <v>0</v>
      </c>
    </row>
    <row r="14" spans="1:6" x14ac:dyDescent="0.15">
      <c r="A14" s="16">
        <v>1012</v>
      </c>
      <c r="B14" s="17"/>
      <c r="C14" s="17">
        <f>INDEX(出勤量统计表!C2:F20,13,1)</f>
        <v>0</v>
      </c>
      <c r="D14" s="2">
        <f>INDEX(绩效表!C2:J20,13,1)</f>
        <v>0</v>
      </c>
      <c r="E14" s="2">
        <f>INDEX(绩效表!C2:J20,13,2)</f>
        <v>0</v>
      </c>
      <c r="F14" s="18">
        <f t="shared" si="0"/>
        <v>0</v>
      </c>
    </row>
    <row r="15" spans="1:6" x14ac:dyDescent="0.15">
      <c r="A15" s="16">
        <v>1013</v>
      </c>
      <c r="B15" s="17"/>
      <c r="C15" s="17">
        <f>INDEX(出勤量统计表!C2:F20,14,1)</f>
        <v>0</v>
      </c>
      <c r="D15" s="2">
        <f>INDEX(绩效表!C2:J20,14,1)</f>
        <v>0</v>
      </c>
      <c r="E15" s="2">
        <f>INDEX(绩效表!C2:J20,14,2)</f>
        <v>0</v>
      </c>
      <c r="F15" s="18">
        <f t="shared" si="0"/>
        <v>0</v>
      </c>
    </row>
    <row r="16" spans="1:6" x14ac:dyDescent="0.15">
      <c r="A16" s="16">
        <v>1014</v>
      </c>
      <c r="B16" s="17"/>
      <c r="C16" s="17">
        <f>INDEX(出勤量统计表!C2:F20,15,1)</f>
        <v>0</v>
      </c>
      <c r="D16" s="2">
        <f>INDEX(绩效表!C2:J20,15,1)</f>
        <v>0</v>
      </c>
      <c r="E16" s="2">
        <f>INDEX(绩效表!C2:J20,15,2)</f>
        <v>0</v>
      </c>
      <c r="F16" s="18">
        <f t="shared" si="0"/>
        <v>0</v>
      </c>
    </row>
    <row r="17" spans="1:6" x14ac:dyDescent="0.15">
      <c r="A17" s="16">
        <v>1015</v>
      </c>
      <c r="B17" s="17"/>
      <c r="C17" s="17">
        <f>INDEX(出勤量统计表!C2:F20,16,1)</f>
        <v>0</v>
      </c>
      <c r="D17" s="2">
        <f>INDEX(绩效表!C2:J20,16,1)</f>
        <v>0</v>
      </c>
      <c r="E17" s="2">
        <f>INDEX(绩效表!C2:J20,16,2)</f>
        <v>0</v>
      </c>
      <c r="F17" s="18">
        <f t="shared" si="0"/>
        <v>0</v>
      </c>
    </row>
    <row r="18" spans="1:6" x14ac:dyDescent="0.15">
      <c r="A18" s="16">
        <v>1016</v>
      </c>
      <c r="B18" s="17"/>
      <c r="C18" s="17">
        <f>INDEX(出勤量统计表!C2:F20,17,1)</f>
        <v>0</v>
      </c>
      <c r="D18" s="2">
        <f>INDEX(绩效表!C2:J20,17,1)</f>
        <v>0</v>
      </c>
      <c r="E18" s="2">
        <f>INDEX(绩效表!C2:J20,17,2)</f>
        <v>0</v>
      </c>
      <c r="F18" s="18">
        <f t="shared" si="0"/>
        <v>0</v>
      </c>
    </row>
    <row r="19" spans="1:6" x14ac:dyDescent="0.15">
      <c r="A19" s="16">
        <v>1017</v>
      </c>
      <c r="B19" s="17"/>
      <c r="C19" s="17">
        <f>INDEX(出勤量统计表!C2:F20,18,1)</f>
        <v>0</v>
      </c>
      <c r="D19" s="2">
        <f>INDEX(绩效表!C2:J20,18,1)</f>
        <v>0</v>
      </c>
      <c r="E19" s="2">
        <f>INDEX(绩效表!C2:J20,18,2)</f>
        <v>0</v>
      </c>
      <c r="F19" s="18">
        <f t="shared" si="0"/>
        <v>0</v>
      </c>
    </row>
    <row r="20" spans="1:6" ht="15" thickBot="1" x14ac:dyDescent="0.2">
      <c r="A20" s="19">
        <v>1018</v>
      </c>
      <c r="B20" s="20"/>
      <c r="C20" s="20">
        <f>INDEX(出勤量统计表!C2:F20,19,1)</f>
        <v>0</v>
      </c>
      <c r="D20" s="20">
        <f>INDEX(绩效表!C2:J20,19,1)</f>
        <v>0</v>
      </c>
      <c r="E20" s="20">
        <f>INDEX(绩效表!C2:J20,19,2)</f>
        <v>0</v>
      </c>
      <c r="F20" s="21">
        <f t="shared" si="0"/>
        <v>0</v>
      </c>
    </row>
  </sheetData>
  <mergeCells count="1">
    <mergeCell ref="A1:F1"/>
  </mergeCells>
  <phoneticPr fontId="1" type="noConversion"/>
  <pageMargins left="0.75" right="0.75" top="1" bottom="1" header="0.5" footer="0.5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workbookViewId="0">
      <selection activeCell="E3" sqref="E3:E20"/>
    </sheetView>
  </sheetViews>
  <sheetFormatPr defaultRowHeight="14.25" x14ac:dyDescent="0.15"/>
  <cols>
    <col min="6" max="6" width="11.625" bestFit="1" customWidth="1"/>
  </cols>
  <sheetData>
    <row r="1" spans="1:6" ht="22.5" x14ac:dyDescent="0.15">
      <c r="A1" s="41" t="s">
        <v>24</v>
      </c>
      <c r="B1" s="42"/>
      <c r="C1" s="42"/>
      <c r="D1" s="42"/>
      <c r="E1" s="42"/>
      <c r="F1" s="43"/>
    </row>
    <row r="2" spans="1:6" x14ac:dyDescent="0.15">
      <c r="A2" s="16" t="s">
        <v>18</v>
      </c>
      <c r="B2" s="17" t="s">
        <v>19</v>
      </c>
      <c r="C2" s="17" t="s">
        <v>0</v>
      </c>
      <c r="D2" s="17" t="s">
        <v>20</v>
      </c>
      <c r="E2" s="17" t="s">
        <v>21</v>
      </c>
      <c r="F2" s="18" t="s">
        <v>22</v>
      </c>
    </row>
    <row r="3" spans="1:6" x14ac:dyDescent="0.15">
      <c r="A3" s="16">
        <v>1001</v>
      </c>
      <c r="B3" s="17"/>
      <c r="C3" s="17"/>
      <c r="D3" s="17"/>
      <c r="E3" s="17"/>
      <c r="F3" s="18">
        <f>C3*20%+D3*30%+E3*50%</f>
        <v>0</v>
      </c>
    </row>
    <row r="4" spans="1:6" x14ac:dyDescent="0.15">
      <c r="A4" s="16">
        <v>1002</v>
      </c>
      <c r="B4" s="17"/>
      <c r="C4" s="17"/>
      <c r="D4" s="17"/>
      <c r="E4" s="17"/>
      <c r="F4" s="18">
        <f t="shared" ref="F4:F20" si="0">C4*20%+D4*30%+E4*50%</f>
        <v>0</v>
      </c>
    </row>
    <row r="5" spans="1:6" x14ac:dyDescent="0.15">
      <c r="A5" s="16">
        <v>1003</v>
      </c>
      <c r="B5" s="17"/>
      <c r="C5" s="17"/>
      <c r="D5" s="17"/>
      <c r="E5" s="17"/>
      <c r="F5" s="18">
        <f t="shared" si="0"/>
        <v>0</v>
      </c>
    </row>
    <row r="6" spans="1:6" x14ac:dyDescent="0.15">
      <c r="A6" s="16">
        <v>1004</v>
      </c>
      <c r="B6" s="17"/>
      <c r="C6" s="17"/>
      <c r="D6" s="17"/>
      <c r="E6" s="17"/>
      <c r="F6" s="18">
        <f t="shared" si="0"/>
        <v>0</v>
      </c>
    </row>
    <row r="7" spans="1:6" x14ac:dyDescent="0.15">
      <c r="A7" s="16">
        <v>1005</v>
      </c>
      <c r="B7" s="17"/>
      <c r="C7" s="17"/>
      <c r="D7" s="17"/>
      <c r="E7" s="17"/>
      <c r="F7" s="18">
        <f t="shared" si="0"/>
        <v>0</v>
      </c>
    </row>
    <row r="8" spans="1:6" x14ac:dyDescent="0.15">
      <c r="A8" s="16">
        <v>1006</v>
      </c>
      <c r="B8" s="17"/>
      <c r="C8" s="17"/>
      <c r="D8" s="17"/>
      <c r="E8" s="17"/>
      <c r="F8" s="18">
        <f t="shared" si="0"/>
        <v>0</v>
      </c>
    </row>
    <row r="9" spans="1:6" x14ac:dyDescent="0.15">
      <c r="A9" s="16">
        <v>1007</v>
      </c>
      <c r="B9" s="17"/>
      <c r="C9" s="17"/>
      <c r="D9" s="17"/>
      <c r="E9" s="17"/>
      <c r="F9" s="18">
        <f t="shared" si="0"/>
        <v>0</v>
      </c>
    </row>
    <row r="10" spans="1:6" x14ac:dyDescent="0.15">
      <c r="A10" s="16">
        <v>1008</v>
      </c>
      <c r="B10" s="17"/>
      <c r="C10" s="17"/>
      <c r="D10" s="17"/>
      <c r="E10" s="17"/>
      <c r="F10" s="18">
        <f t="shared" si="0"/>
        <v>0</v>
      </c>
    </row>
    <row r="11" spans="1:6" x14ac:dyDescent="0.15">
      <c r="A11" s="16">
        <v>1009</v>
      </c>
      <c r="B11" s="17"/>
      <c r="C11" s="17"/>
      <c r="D11" s="17"/>
      <c r="E11" s="17"/>
      <c r="F11" s="18">
        <f t="shared" si="0"/>
        <v>0</v>
      </c>
    </row>
    <row r="12" spans="1:6" x14ac:dyDescent="0.15">
      <c r="A12" s="16">
        <v>1010</v>
      </c>
      <c r="B12" s="17"/>
      <c r="C12" s="17"/>
      <c r="D12" s="17"/>
      <c r="E12" s="17"/>
      <c r="F12" s="18">
        <f t="shared" si="0"/>
        <v>0</v>
      </c>
    </row>
    <row r="13" spans="1:6" x14ac:dyDescent="0.15">
      <c r="A13" s="16">
        <v>1011</v>
      </c>
      <c r="B13" s="17"/>
      <c r="C13" s="17"/>
      <c r="D13" s="17"/>
      <c r="E13" s="17"/>
      <c r="F13" s="18">
        <f t="shared" si="0"/>
        <v>0</v>
      </c>
    </row>
    <row r="14" spans="1:6" x14ac:dyDescent="0.15">
      <c r="A14" s="16">
        <v>1012</v>
      </c>
      <c r="B14" s="17"/>
      <c r="C14" s="17"/>
      <c r="D14" s="17"/>
      <c r="E14" s="17"/>
      <c r="F14" s="18">
        <f t="shared" si="0"/>
        <v>0</v>
      </c>
    </row>
    <row r="15" spans="1:6" x14ac:dyDescent="0.15">
      <c r="A15" s="16">
        <v>1013</v>
      </c>
      <c r="B15" s="17"/>
      <c r="C15" s="17"/>
      <c r="D15" s="17"/>
      <c r="E15" s="17"/>
      <c r="F15" s="18">
        <f t="shared" si="0"/>
        <v>0</v>
      </c>
    </row>
    <row r="16" spans="1:6" x14ac:dyDescent="0.15">
      <c r="A16" s="16">
        <v>1014</v>
      </c>
      <c r="B16" s="17"/>
      <c r="C16" s="17"/>
      <c r="D16" s="17"/>
      <c r="E16" s="17"/>
      <c r="F16" s="18">
        <f t="shared" si="0"/>
        <v>0</v>
      </c>
    </row>
    <row r="17" spans="1:6" x14ac:dyDescent="0.15">
      <c r="A17" s="16">
        <v>1015</v>
      </c>
      <c r="B17" s="17"/>
      <c r="C17" s="17"/>
      <c r="D17" s="17"/>
      <c r="E17" s="17"/>
      <c r="F17" s="18">
        <f t="shared" si="0"/>
        <v>0</v>
      </c>
    </row>
    <row r="18" spans="1:6" x14ac:dyDescent="0.15">
      <c r="A18" s="16">
        <v>1016</v>
      </c>
      <c r="B18" s="17"/>
      <c r="C18" s="17"/>
      <c r="D18" s="17"/>
      <c r="E18" s="17"/>
      <c r="F18" s="18">
        <f t="shared" si="0"/>
        <v>0</v>
      </c>
    </row>
    <row r="19" spans="1:6" x14ac:dyDescent="0.15">
      <c r="A19" s="16">
        <v>1017</v>
      </c>
      <c r="B19" s="17"/>
      <c r="C19" s="17"/>
      <c r="D19" s="17"/>
      <c r="E19" s="17"/>
      <c r="F19" s="18">
        <f t="shared" si="0"/>
        <v>0</v>
      </c>
    </row>
    <row r="20" spans="1:6" ht="15" thickBot="1" x14ac:dyDescent="0.2">
      <c r="A20" s="19">
        <v>1018</v>
      </c>
      <c r="B20" s="20"/>
      <c r="C20" s="20"/>
      <c r="D20" s="20"/>
      <c r="E20" s="20"/>
      <c r="F20" s="21">
        <f t="shared" si="0"/>
        <v>0</v>
      </c>
    </row>
  </sheetData>
  <mergeCells count="1">
    <mergeCell ref="A1:F1"/>
  </mergeCells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workbookViewId="0">
      <selection activeCell="E3" sqref="E3:E20"/>
    </sheetView>
  </sheetViews>
  <sheetFormatPr defaultRowHeight="14.25" x14ac:dyDescent="0.15"/>
  <cols>
    <col min="6" max="6" width="11.625" bestFit="1" customWidth="1"/>
  </cols>
  <sheetData>
    <row r="1" spans="1:6" ht="22.5" x14ac:dyDescent="0.15">
      <c r="A1" s="41" t="s">
        <v>25</v>
      </c>
      <c r="B1" s="42"/>
      <c r="C1" s="42"/>
      <c r="D1" s="42"/>
      <c r="E1" s="42"/>
      <c r="F1" s="43"/>
    </row>
    <row r="2" spans="1:6" x14ac:dyDescent="0.15">
      <c r="A2" s="16" t="s">
        <v>18</v>
      </c>
      <c r="B2" s="17" t="s">
        <v>19</v>
      </c>
      <c r="C2" s="17" t="s">
        <v>0</v>
      </c>
      <c r="D2" s="17" t="s">
        <v>20</v>
      </c>
      <c r="E2" s="17" t="s">
        <v>21</v>
      </c>
      <c r="F2" s="18" t="s">
        <v>22</v>
      </c>
    </row>
    <row r="3" spans="1:6" x14ac:dyDescent="0.15">
      <c r="A3" s="16">
        <v>1001</v>
      </c>
      <c r="B3" s="17"/>
      <c r="C3" s="17"/>
      <c r="D3" s="17"/>
      <c r="E3" s="17"/>
      <c r="F3" s="18">
        <f>C3*20%+D3*30%+E3*50%</f>
        <v>0</v>
      </c>
    </row>
    <row r="4" spans="1:6" x14ac:dyDescent="0.15">
      <c r="A4" s="16">
        <v>1002</v>
      </c>
      <c r="B4" s="17"/>
      <c r="C4" s="17"/>
      <c r="D4" s="17"/>
      <c r="E4" s="17"/>
      <c r="F4" s="18">
        <f t="shared" ref="F4:F20" si="0">C4*20%+D4*30%+E4*50%</f>
        <v>0</v>
      </c>
    </row>
    <row r="5" spans="1:6" x14ac:dyDescent="0.15">
      <c r="A5" s="16">
        <v>1003</v>
      </c>
      <c r="B5" s="17"/>
      <c r="C5" s="17"/>
      <c r="D5" s="17"/>
      <c r="E5" s="17"/>
      <c r="F5" s="18">
        <f t="shared" si="0"/>
        <v>0</v>
      </c>
    </row>
    <row r="6" spans="1:6" x14ac:dyDescent="0.15">
      <c r="A6" s="16">
        <v>1004</v>
      </c>
      <c r="B6" s="17"/>
      <c r="C6" s="17"/>
      <c r="D6" s="17"/>
      <c r="E6" s="17"/>
      <c r="F6" s="18">
        <f t="shared" si="0"/>
        <v>0</v>
      </c>
    </row>
    <row r="7" spans="1:6" x14ac:dyDescent="0.15">
      <c r="A7" s="16">
        <v>1005</v>
      </c>
      <c r="B7" s="17"/>
      <c r="C7" s="17"/>
      <c r="D7" s="17"/>
      <c r="E7" s="17"/>
      <c r="F7" s="18">
        <f t="shared" si="0"/>
        <v>0</v>
      </c>
    </row>
    <row r="8" spans="1:6" x14ac:dyDescent="0.15">
      <c r="A8" s="16">
        <v>1006</v>
      </c>
      <c r="B8" s="17"/>
      <c r="C8" s="17"/>
      <c r="D8" s="17"/>
      <c r="E8" s="17"/>
      <c r="F8" s="18">
        <f t="shared" si="0"/>
        <v>0</v>
      </c>
    </row>
    <row r="9" spans="1:6" x14ac:dyDescent="0.15">
      <c r="A9" s="16">
        <v>1007</v>
      </c>
      <c r="B9" s="17"/>
      <c r="C9" s="17"/>
      <c r="D9" s="17"/>
      <c r="E9" s="17"/>
      <c r="F9" s="18">
        <f t="shared" si="0"/>
        <v>0</v>
      </c>
    </row>
    <row r="10" spans="1:6" x14ac:dyDescent="0.15">
      <c r="A10" s="16">
        <v>1008</v>
      </c>
      <c r="B10" s="17"/>
      <c r="C10" s="17"/>
      <c r="D10" s="17"/>
      <c r="E10" s="17"/>
      <c r="F10" s="18">
        <f t="shared" si="0"/>
        <v>0</v>
      </c>
    </row>
    <row r="11" spans="1:6" x14ac:dyDescent="0.15">
      <c r="A11" s="16">
        <v>1009</v>
      </c>
      <c r="B11" s="17"/>
      <c r="C11" s="17"/>
      <c r="D11" s="17"/>
      <c r="E11" s="17"/>
      <c r="F11" s="18">
        <f t="shared" si="0"/>
        <v>0</v>
      </c>
    </row>
    <row r="12" spans="1:6" x14ac:dyDescent="0.15">
      <c r="A12" s="16">
        <v>1010</v>
      </c>
      <c r="B12" s="17"/>
      <c r="C12" s="17"/>
      <c r="D12" s="17"/>
      <c r="E12" s="17"/>
      <c r="F12" s="18">
        <f t="shared" si="0"/>
        <v>0</v>
      </c>
    </row>
    <row r="13" spans="1:6" x14ac:dyDescent="0.15">
      <c r="A13" s="16">
        <v>1011</v>
      </c>
      <c r="B13" s="17"/>
      <c r="C13" s="17"/>
      <c r="D13" s="17"/>
      <c r="E13" s="17"/>
      <c r="F13" s="18">
        <f t="shared" si="0"/>
        <v>0</v>
      </c>
    </row>
    <row r="14" spans="1:6" x14ac:dyDescent="0.15">
      <c r="A14" s="16">
        <v>1012</v>
      </c>
      <c r="B14" s="17"/>
      <c r="C14" s="17"/>
      <c r="D14" s="17"/>
      <c r="E14" s="17"/>
      <c r="F14" s="18">
        <f t="shared" si="0"/>
        <v>0</v>
      </c>
    </row>
    <row r="15" spans="1:6" x14ac:dyDescent="0.15">
      <c r="A15" s="16">
        <v>1013</v>
      </c>
      <c r="B15" s="17"/>
      <c r="C15" s="17"/>
      <c r="D15" s="17"/>
      <c r="E15" s="17"/>
      <c r="F15" s="18">
        <f t="shared" si="0"/>
        <v>0</v>
      </c>
    </row>
    <row r="16" spans="1:6" x14ac:dyDescent="0.15">
      <c r="A16" s="16">
        <v>1014</v>
      </c>
      <c r="B16" s="17"/>
      <c r="C16" s="17"/>
      <c r="D16" s="17"/>
      <c r="E16" s="17"/>
      <c r="F16" s="18">
        <f t="shared" si="0"/>
        <v>0</v>
      </c>
    </row>
    <row r="17" spans="1:6" x14ac:dyDescent="0.15">
      <c r="A17" s="16">
        <v>1015</v>
      </c>
      <c r="B17" s="17"/>
      <c r="C17" s="17"/>
      <c r="D17" s="17"/>
      <c r="E17" s="17"/>
      <c r="F17" s="18">
        <f t="shared" si="0"/>
        <v>0</v>
      </c>
    </row>
    <row r="18" spans="1:6" x14ac:dyDescent="0.15">
      <c r="A18" s="16">
        <v>1016</v>
      </c>
      <c r="B18" s="17"/>
      <c r="C18" s="17"/>
      <c r="D18" s="17"/>
      <c r="E18" s="17"/>
      <c r="F18" s="18">
        <f t="shared" si="0"/>
        <v>0</v>
      </c>
    </row>
    <row r="19" spans="1:6" x14ac:dyDescent="0.15">
      <c r="A19" s="16">
        <v>1017</v>
      </c>
      <c r="B19" s="17"/>
      <c r="C19" s="17"/>
      <c r="D19" s="17"/>
      <c r="E19" s="17"/>
      <c r="F19" s="18">
        <f t="shared" si="0"/>
        <v>0</v>
      </c>
    </row>
    <row r="20" spans="1:6" ht="15" thickBot="1" x14ac:dyDescent="0.2">
      <c r="A20" s="19">
        <v>1018</v>
      </c>
      <c r="B20" s="20"/>
      <c r="C20" s="20"/>
      <c r="D20" s="20"/>
      <c r="E20" s="20"/>
      <c r="F20" s="21">
        <f t="shared" si="0"/>
        <v>0</v>
      </c>
    </row>
  </sheetData>
  <mergeCells count="1">
    <mergeCell ref="A1:F1"/>
  </mergeCells>
  <phoneticPr fontId="1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workbookViewId="0">
      <selection activeCell="E3" sqref="E3:E20"/>
    </sheetView>
  </sheetViews>
  <sheetFormatPr defaultRowHeight="14.25" x14ac:dyDescent="0.15"/>
  <cols>
    <col min="6" max="6" width="11.625" bestFit="1" customWidth="1"/>
  </cols>
  <sheetData>
    <row r="1" spans="1:6" ht="22.5" x14ac:dyDescent="0.15">
      <c r="A1" s="41" t="s">
        <v>26</v>
      </c>
      <c r="B1" s="42"/>
      <c r="C1" s="42"/>
      <c r="D1" s="42"/>
      <c r="E1" s="42"/>
      <c r="F1" s="43"/>
    </row>
    <row r="2" spans="1:6" x14ac:dyDescent="0.15">
      <c r="A2" s="16" t="s">
        <v>18</v>
      </c>
      <c r="B2" s="17" t="s">
        <v>19</v>
      </c>
      <c r="C2" s="17" t="s">
        <v>0</v>
      </c>
      <c r="D2" s="17" t="s">
        <v>20</v>
      </c>
      <c r="E2" s="17" t="s">
        <v>21</v>
      </c>
      <c r="F2" s="18" t="s">
        <v>22</v>
      </c>
    </row>
    <row r="3" spans="1:6" x14ac:dyDescent="0.15">
      <c r="A3" s="16">
        <v>1001</v>
      </c>
      <c r="B3" s="17"/>
      <c r="C3" s="17"/>
      <c r="D3" s="17"/>
      <c r="E3" s="17"/>
      <c r="F3" s="18">
        <f>C3*20%+D3*30%+E3*50%</f>
        <v>0</v>
      </c>
    </row>
    <row r="4" spans="1:6" x14ac:dyDescent="0.15">
      <c r="A4" s="16">
        <v>1002</v>
      </c>
      <c r="B4" s="17"/>
      <c r="C4" s="17"/>
      <c r="D4" s="17"/>
      <c r="E4" s="17"/>
      <c r="F4" s="18">
        <f t="shared" ref="F4:F20" si="0">C4*20%+D4*30%+E4*50%</f>
        <v>0</v>
      </c>
    </row>
    <row r="5" spans="1:6" x14ac:dyDescent="0.15">
      <c r="A5" s="16">
        <v>1003</v>
      </c>
      <c r="B5" s="17"/>
      <c r="C5" s="17"/>
      <c r="D5" s="17"/>
      <c r="E5" s="17"/>
      <c r="F5" s="18">
        <f t="shared" si="0"/>
        <v>0</v>
      </c>
    </row>
    <row r="6" spans="1:6" x14ac:dyDescent="0.15">
      <c r="A6" s="16">
        <v>1004</v>
      </c>
      <c r="B6" s="17"/>
      <c r="C6" s="17"/>
      <c r="D6" s="17"/>
      <c r="E6" s="17"/>
      <c r="F6" s="18">
        <f t="shared" si="0"/>
        <v>0</v>
      </c>
    </row>
    <row r="7" spans="1:6" x14ac:dyDescent="0.15">
      <c r="A7" s="16">
        <v>1005</v>
      </c>
      <c r="B7" s="17"/>
      <c r="C7" s="17"/>
      <c r="D7" s="17"/>
      <c r="E7" s="17"/>
      <c r="F7" s="18">
        <f t="shared" si="0"/>
        <v>0</v>
      </c>
    </row>
    <row r="8" spans="1:6" x14ac:dyDescent="0.15">
      <c r="A8" s="16">
        <v>1006</v>
      </c>
      <c r="B8" s="17"/>
      <c r="C8" s="17"/>
      <c r="D8" s="17"/>
      <c r="E8" s="17"/>
      <c r="F8" s="18">
        <f t="shared" si="0"/>
        <v>0</v>
      </c>
    </row>
    <row r="9" spans="1:6" x14ac:dyDescent="0.15">
      <c r="A9" s="16">
        <v>1007</v>
      </c>
      <c r="B9" s="17"/>
      <c r="C9" s="17"/>
      <c r="D9" s="17"/>
      <c r="E9" s="17"/>
      <c r="F9" s="18">
        <f t="shared" si="0"/>
        <v>0</v>
      </c>
    </row>
    <row r="10" spans="1:6" x14ac:dyDescent="0.15">
      <c r="A10" s="16">
        <v>1008</v>
      </c>
      <c r="B10" s="17"/>
      <c r="C10" s="17"/>
      <c r="D10" s="17"/>
      <c r="E10" s="17"/>
      <c r="F10" s="18">
        <f t="shared" si="0"/>
        <v>0</v>
      </c>
    </row>
    <row r="11" spans="1:6" x14ac:dyDescent="0.15">
      <c r="A11" s="16">
        <v>1009</v>
      </c>
      <c r="B11" s="17"/>
      <c r="C11" s="17"/>
      <c r="D11" s="17"/>
      <c r="E11" s="17"/>
      <c r="F11" s="18">
        <f t="shared" si="0"/>
        <v>0</v>
      </c>
    </row>
    <row r="12" spans="1:6" x14ac:dyDescent="0.15">
      <c r="A12" s="16">
        <v>1010</v>
      </c>
      <c r="B12" s="17"/>
      <c r="C12" s="17"/>
      <c r="D12" s="17"/>
      <c r="E12" s="17"/>
      <c r="F12" s="18">
        <f t="shared" si="0"/>
        <v>0</v>
      </c>
    </row>
    <row r="13" spans="1:6" x14ac:dyDescent="0.15">
      <c r="A13" s="16">
        <v>1011</v>
      </c>
      <c r="B13" s="17"/>
      <c r="C13" s="17"/>
      <c r="D13" s="17"/>
      <c r="E13" s="17"/>
      <c r="F13" s="18">
        <f t="shared" si="0"/>
        <v>0</v>
      </c>
    </row>
    <row r="14" spans="1:6" x14ac:dyDescent="0.15">
      <c r="A14" s="16">
        <v>1012</v>
      </c>
      <c r="B14" s="17"/>
      <c r="C14" s="17"/>
      <c r="D14" s="17"/>
      <c r="E14" s="17"/>
      <c r="F14" s="18">
        <f t="shared" si="0"/>
        <v>0</v>
      </c>
    </row>
    <row r="15" spans="1:6" x14ac:dyDescent="0.15">
      <c r="A15" s="16">
        <v>1013</v>
      </c>
      <c r="B15" s="17"/>
      <c r="C15" s="17"/>
      <c r="D15" s="17"/>
      <c r="E15" s="17"/>
      <c r="F15" s="18">
        <f t="shared" si="0"/>
        <v>0</v>
      </c>
    </row>
    <row r="16" spans="1:6" x14ac:dyDescent="0.15">
      <c r="A16" s="16">
        <v>1014</v>
      </c>
      <c r="B16" s="17"/>
      <c r="C16" s="17"/>
      <c r="D16" s="17"/>
      <c r="E16" s="17"/>
      <c r="F16" s="18">
        <f t="shared" si="0"/>
        <v>0</v>
      </c>
    </row>
    <row r="17" spans="1:6" x14ac:dyDescent="0.15">
      <c r="A17" s="16">
        <v>1015</v>
      </c>
      <c r="B17" s="17"/>
      <c r="C17" s="17"/>
      <c r="D17" s="17"/>
      <c r="E17" s="17"/>
      <c r="F17" s="18">
        <f t="shared" si="0"/>
        <v>0</v>
      </c>
    </row>
    <row r="18" spans="1:6" x14ac:dyDescent="0.15">
      <c r="A18" s="16">
        <v>1016</v>
      </c>
      <c r="B18" s="17"/>
      <c r="C18" s="17"/>
      <c r="D18" s="17"/>
      <c r="E18" s="17"/>
      <c r="F18" s="18">
        <f t="shared" si="0"/>
        <v>0</v>
      </c>
    </row>
    <row r="19" spans="1:6" x14ac:dyDescent="0.15">
      <c r="A19" s="16">
        <v>1017</v>
      </c>
      <c r="B19" s="17"/>
      <c r="C19" s="17"/>
      <c r="D19" s="17"/>
      <c r="E19" s="17"/>
      <c r="F19" s="18">
        <f t="shared" si="0"/>
        <v>0</v>
      </c>
    </row>
    <row r="20" spans="1:6" ht="15" thickBot="1" x14ac:dyDescent="0.2">
      <c r="A20" s="19">
        <v>1018</v>
      </c>
      <c r="B20" s="20"/>
      <c r="C20" s="20"/>
      <c r="D20" s="20"/>
      <c r="E20" s="20"/>
      <c r="F20" s="21">
        <f t="shared" si="0"/>
        <v>0</v>
      </c>
    </row>
  </sheetData>
  <mergeCells count="1">
    <mergeCell ref="A1:F1"/>
  </mergeCells>
  <phoneticPr fontId="1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"/>
  <sheetViews>
    <sheetView tabSelected="1" workbookViewId="0">
      <selection activeCell="C22" sqref="C22"/>
    </sheetView>
  </sheetViews>
  <sheetFormatPr defaultRowHeight="14.25" x14ac:dyDescent="0.15"/>
  <cols>
    <col min="6" max="6" width="13.75" customWidth="1"/>
    <col min="7" max="8" width="9.5" bestFit="1" customWidth="1"/>
  </cols>
  <sheetData>
    <row r="1" spans="1:8" ht="22.5" x14ac:dyDescent="0.15">
      <c r="A1" s="28" t="s">
        <v>27</v>
      </c>
      <c r="B1" s="29"/>
      <c r="C1" s="29"/>
      <c r="D1" s="29"/>
      <c r="E1" s="29"/>
      <c r="F1" s="29"/>
      <c r="G1" s="29"/>
      <c r="H1" s="30"/>
    </row>
    <row r="2" spans="1:8" x14ac:dyDescent="0.15">
      <c r="A2" s="16" t="s">
        <v>18</v>
      </c>
      <c r="B2" s="17" t="s">
        <v>19</v>
      </c>
      <c r="C2" s="17" t="s">
        <v>0</v>
      </c>
      <c r="D2" s="17" t="s">
        <v>20</v>
      </c>
      <c r="E2" s="17" t="s">
        <v>21</v>
      </c>
      <c r="F2" s="17" t="s">
        <v>28</v>
      </c>
      <c r="G2" s="17" t="s">
        <v>1</v>
      </c>
      <c r="H2" s="18" t="s">
        <v>30</v>
      </c>
    </row>
    <row r="3" spans="1:8" ht="13.5" customHeight="1" x14ac:dyDescent="0.15">
      <c r="A3" s="16">
        <v>1001</v>
      </c>
      <c r="B3" s="17"/>
      <c r="C3" s="22"/>
      <c r="D3" s="22"/>
      <c r="E3" s="22"/>
      <c r="F3" s="22">
        <f>C3*20%+D3*30%+E3*50%</f>
        <v>0</v>
      </c>
      <c r="G3" s="17">
        <f>RANK(F3,$F$3:$F$20)</f>
        <v>1</v>
      </c>
      <c r="H3" s="33">
        <f>LOOKUP(G3,$F$24:$F$27,$G$24:$G$27)</f>
        <v>5000</v>
      </c>
    </row>
    <row r="4" spans="1:8" x14ac:dyDescent="0.15">
      <c r="A4" s="16">
        <v>1002</v>
      </c>
      <c r="B4" s="17"/>
      <c r="C4" s="22"/>
      <c r="D4" s="22"/>
      <c r="E4" s="22"/>
      <c r="F4" s="22">
        <f t="shared" ref="F4:F20" si="0">C4*20%+D4*30%+E4*50%</f>
        <v>0</v>
      </c>
      <c r="G4" s="17">
        <f t="shared" ref="G4:G20" si="1">RANK(F4,$F$3:$F$20)</f>
        <v>1</v>
      </c>
      <c r="H4" s="33">
        <f t="shared" ref="H4:H20" si="2">LOOKUP(G4,$F$24:$F$27,$G$24:$G$27)</f>
        <v>5000</v>
      </c>
    </row>
    <row r="5" spans="1:8" x14ac:dyDescent="0.15">
      <c r="A5" s="16">
        <v>1003</v>
      </c>
      <c r="B5" s="17"/>
      <c r="C5" s="22"/>
      <c r="D5" s="22"/>
      <c r="E5" s="22"/>
      <c r="F5" s="22">
        <f t="shared" si="0"/>
        <v>0</v>
      </c>
      <c r="G5" s="17">
        <f t="shared" si="1"/>
        <v>1</v>
      </c>
      <c r="H5" s="33">
        <f t="shared" si="2"/>
        <v>5000</v>
      </c>
    </row>
    <row r="6" spans="1:8" x14ac:dyDescent="0.15">
      <c r="A6" s="16">
        <v>1004</v>
      </c>
      <c r="B6" s="17"/>
      <c r="C6" s="22"/>
      <c r="D6" s="22"/>
      <c r="E6" s="22"/>
      <c r="F6" s="22">
        <f t="shared" si="0"/>
        <v>0</v>
      </c>
      <c r="G6" s="17">
        <f t="shared" si="1"/>
        <v>1</v>
      </c>
      <c r="H6" s="33">
        <f t="shared" si="2"/>
        <v>5000</v>
      </c>
    </row>
    <row r="7" spans="1:8" x14ac:dyDescent="0.15">
      <c r="A7" s="16">
        <v>1005</v>
      </c>
      <c r="B7" s="17"/>
      <c r="C7" s="22"/>
      <c r="D7" s="22"/>
      <c r="E7" s="22"/>
      <c r="F7" s="22">
        <f t="shared" si="0"/>
        <v>0</v>
      </c>
      <c r="G7" s="17">
        <f t="shared" si="1"/>
        <v>1</v>
      </c>
      <c r="H7" s="33">
        <f t="shared" si="2"/>
        <v>5000</v>
      </c>
    </row>
    <row r="8" spans="1:8" x14ac:dyDescent="0.15">
      <c r="A8" s="16">
        <v>1006</v>
      </c>
      <c r="B8" s="17"/>
      <c r="C8" s="22"/>
      <c r="D8" s="22"/>
      <c r="E8" s="22"/>
      <c r="F8" s="22">
        <f t="shared" si="0"/>
        <v>0</v>
      </c>
      <c r="G8" s="17">
        <f t="shared" si="1"/>
        <v>1</v>
      </c>
      <c r="H8" s="33">
        <f t="shared" si="2"/>
        <v>5000</v>
      </c>
    </row>
    <row r="9" spans="1:8" x14ac:dyDescent="0.15">
      <c r="A9" s="16">
        <v>1007</v>
      </c>
      <c r="B9" s="17"/>
      <c r="C9" s="22"/>
      <c r="D9" s="22"/>
      <c r="E9" s="22"/>
      <c r="F9" s="22">
        <f t="shared" si="0"/>
        <v>0</v>
      </c>
      <c r="G9" s="17">
        <f t="shared" si="1"/>
        <v>1</v>
      </c>
      <c r="H9" s="33">
        <f t="shared" si="2"/>
        <v>5000</v>
      </c>
    </row>
    <row r="10" spans="1:8" x14ac:dyDescent="0.15">
      <c r="A10" s="16">
        <v>1008</v>
      </c>
      <c r="B10" s="17"/>
      <c r="C10" s="22"/>
      <c r="D10" s="22"/>
      <c r="E10" s="22"/>
      <c r="F10" s="22">
        <f t="shared" si="0"/>
        <v>0</v>
      </c>
      <c r="G10" s="17">
        <f t="shared" si="1"/>
        <v>1</v>
      </c>
      <c r="H10" s="33">
        <f t="shared" si="2"/>
        <v>5000</v>
      </c>
    </row>
    <row r="11" spans="1:8" x14ac:dyDescent="0.15">
      <c r="A11" s="16">
        <v>1009</v>
      </c>
      <c r="B11" s="17"/>
      <c r="C11" s="22"/>
      <c r="D11" s="22"/>
      <c r="E11" s="22"/>
      <c r="F11" s="22">
        <f t="shared" si="0"/>
        <v>0</v>
      </c>
      <c r="G11" s="17">
        <f t="shared" si="1"/>
        <v>1</v>
      </c>
      <c r="H11" s="33">
        <f t="shared" si="2"/>
        <v>5000</v>
      </c>
    </row>
    <row r="12" spans="1:8" x14ac:dyDescent="0.15">
      <c r="A12" s="16">
        <v>1010</v>
      </c>
      <c r="B12" s="17"/>
      <c r="C12" s="22"/>
      <c r="D12" s="22"/>
      <c r="E12" s="22"/>
      <c r="F12" s="22">
        <f t="shared" si="0"/>
        <v>0</v>
      </c>
      <c r="G12" s="17">
        <f t="shared" si="1"/>
        <v>1</v>
      </c>
      <c r="H12" s="33">
        <f t="shared" si="2"/>
        <v>5000</v>
      </c>
    </row>
    <row r="13" spans="1:8" x14ac:dyDescent="0.15">
      <c r="A13" s="16">
        <v>1011</v>
      </c>
      <c r="B13" s="17"/>
      <c r="C13" s="22"/>
      <c r="D13" s="22"/>
      <c r="E13" s="22"/>
      <c r="F13" s="22">
        <f t="shared" si="0"/>
        <v>0</v>
      </c>
      <c r="G13" s="17">
        <f t="shared" si="1"/>
        <v>1</v>
      </c>
      <c r="H13" s="33">
        <f t="shared" si="2"/>
        <v>5000</v>
      </c>
    </row>
    <row r="14" spans="1:8" x14ac:dyDescent="0.15">
      <c r="A14" s="16">
        <v>1012</v>
      </c>
      <c r="B14" s="17"/>
      <c r="C14" s="22"/>
      <c r="D14" s="22"/>
      <c r="E14" s="22"/>
      <c r="F14" s="22">
        <f t="shared" si="0"/>
        <v>0</v>
      </c>
      <c r="G14" s="17">
        <f t="shared" si="1"/>
        <v>1</v>
      </c>
      <c r="H14" s="33">
        <f t="shared" si="2"/>
        <v>5000</v>
      </c>
    </row>
    <row r="15" spans="1:8" x14ac:dyDescent="0.15">
      <c r="A15" s="16">
        <v>1013</v>
      </c>
      <c r="B15" s="17"/>
      <c r="C15" s="22"/>
      <c r="D15" s="22"/>
      <c r="E15" s="22"/>
      <c r="F15" s="22">
        <f t="shared" si="0"/>
        <v>0</v>
      </c>
      <c r="G15" s="17">
        <f t="shared" si="1"/>
        <v>1</v>
      </c>
      <c r="H15" s="33">
        <f t="shared" si="2"/>
        <v>5000</v>
      </c>
    </row>
    <row r="16" spans="1:8" x14ac:dyDescent="0.15">
      <c r="A16" s="16">
        <v>1014</v>
      </c>
      <c r="B16" s="17"/>
      <c r="C16" s="22"/>
      <c r="D16" s="22"/>
      <c r="E16" s="22"/>
      <c r="F16" s="22">
        <f t="shared" si="0"/>
        <v>0</v>
      </c>
      <c r="G16" s="17">
        <f t="shared" si="1"/>
        <v>1</v>
      </c>
      <c r="H16" s="33">
        <f t="shared" si="2"/>
        <v>5000</v>
      </c>
    </row>
    <row r="17" spans="1:8" x14ac:dyDescent="0.15">
      <c r="A17" s="16">
        <v>1015</v>
      </c>
      <c r="B17" s="17"/>
      <c r="C17" s="22"/>
      <c r="D17" s="22"/>
      <c r="E17" s="22"/>
      <c r="F17" s="22">
        <f t="shared" si="0"/>
        <v>0</v>
      </c>
      <c r="G17" s="17">
        <f t="shared" si="1"/>
        <v>1</v>
      </c>
      <c r="H17" s="33">
        <f t="shared" si="2"/>
        <v>5000</v>
      </c>
    </row>
    <row r="18" spans="1:8" x14ac:dyDescent="0.15">
      <c r="A18" s="16">
        <v>1016</v>
      </c>
      <c r="B18" s="17"/>
      <c r="C18" s="22"/>
      <c r="D18" s="22"/>
      <c r="E18" s="22"/>
      <c r="F18" s="22">
        <f t="shared" si="0"/>
        <v>0</v>
      </c>
      <c r="G18" s="17">
        <f t="shared" si="1"/>
        <v>1</v>
      </c>
      <c r="H18" s="33">
        <f t="shared" si="2"/>
        <v>5000</v>
      </c>
    </row>
    <row r="19" spans="1:8" x14ac:dyDescent="0.15">
      <c r="A19" s="16">
        <v>1017</v>
      </c>
      <c r="B19" s="17"/>
      <c r="C19" s="22"/>
      <c r="D19" s="22"/>
      <c r="E19" s="22"/>
      <c r="F19" s="22">
        <f t="shared" si="0"/>
        <v>0</v>
      </c>
      <c r="G19" s="17">
        <f t="shared" si="1"/>
        <v>1</v>
      </c>
      <c r="H19" s="33">
        <f t="shared" si="2"/>
        <v>5000</v>
      </c>
    </row>
    <row r="20" spans="1:8" ht="15" thickBot="1" x14ac:dyDescent="0.2">
      <c r="A20" s="19">
        <v>1018</v>
      </c>
      <c r="B20" s="20"/>
      <c r="C20" s="23"/>
      <c r="D20" s="23"/>
      <c r="E20" s="23"/>
      <c r="F20" s="23">
        <f t="shared" si="0"/>
        <v>0</v>
      </c>
      <c r="G20" s="20">
        <f t="shared" si="1"/>
        <v>1</v>
      </c>
      <c r="H20" s="34">
        <f t="shared" si="2"/>
        <v>5000</v>
      </c>
    </row>
    <row r="22" spans="1:8" ht="15" thickBot="1" x14ac:dyDescent="0.2"/>
    <row r="23" spans="1:8" x14ac:dyDescent="0.15">
      <c r="F23" s="24" t="s">
        <v>29</v>
      </c>
      <c r="G23" s="25" t="s">
        <v>30</v>
      </c>
    </row>
    <row r="24" spans="1:8" x14ac:dyDescent="0.15">
      <c r="F24" s="26">
        <v>1</v>
      </c>
      <c r="G24" s="31">
        <v>5000</v>
      </c>
    </row>
    <row r="25" spans="1:8" x14ac:dyDescent="0.15">
      <c r="F25" s="26">
        <v>6</v>
      </c>
      <c r="G25" s="31">
        <v>3000</v>
      </c>
    </row>
    <row r="26" spans="1:8" x14ac:dyDescent="0.15">
      <c r="F26" s="26">
        <v>11</v>
      </c>
      <c r="G26" s="31">
        <v>2000</v>
      </c>
    </row>
    <row r="27" spans="1:8" ht="15" thickBot="1" x14ac:dyDescent="0.2">
      <c r="F27" s="27">
        <v>16</v>
      </c>
      <c r="G27" s="32">
        <v>1000</v>
      </c>
    </row>
  </sheetData>
  <dataConsolidate function="average">
    <dataRefs count="4">
      <dataRef ref="C3:E20" sheet="第二季度考核表"/>
      <dataRef ref="C3:E20" sheet="第三季度考核表"/>
      <dataRef ref="C3:E20" sheet="第四季度考核表"/>
      <dataRef ref="C3:E20" sheet="第一季度考核表"/>
    </dataRefs>
  </dataConsolidate>
  <phoneticPr fontId="1" type="noConversion"/>
  <conditionalFormatting sqref="F3:F20">
    <cfRule type="cellIs" dxfId="1" priority="1" stopIfTrue="1" operator="between">
      <formula>90</formula>
      <formula>100</formula>
    </cfRule>
    <cfRule type="cellIs" dxfId="0" priority="2" stopIfTrue="1" operator="between">
      <formula>80</formula>
      <formula>90</formula>
    </cfRule>
  </conditionalFormatting>
  <pageMargins left="0.75" right="0.75" top="1" bottom="1" header="0.5" footer="0.5"/>
  <pageSetup paperSize="9" orientation="landscape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出勤量统计表</vt:lpstr>
      <vt:lpstr>绩效表</vt:lpstr>
      <vt:lpstr>第一季度考核表</vt:lpstr>
      <vt:lpstr>第二季度考核表</vt:lpstr>
      <vt:lpstr>第三季度考核表</vt:lpstr>
      <vt:lpstr>第四季度考核表</vt:lpstr>
      <vt:lpstr>年度考核表</vt:lpstr>
    </vt:vector>
  </TitlesOfParts>
  <Company>lei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</dc:creator>
  <cp:lastModifiedBy>admin</cp:lastModifiedBy>
  <dcterms:created xsi:type="dcterms:W3CDTF">2005-10-27T08:19:33Z</dcterms:created>
  <dcterms:modified xsi:type="dcterms:W3CDTF">2012-06-27T05:54:03Z</dcterms:modified>
</cp:coreProperties>
</file>