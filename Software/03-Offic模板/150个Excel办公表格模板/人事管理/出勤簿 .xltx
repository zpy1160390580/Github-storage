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275" yWindow="600" windowWidth="12390" windowHeight="9165"/>
  </bookViews>
  <sheets>
    <sheet name="出勤簿" sheetId="1" r:id="rId1"/>
  </sheets>
  <definedNames>
    <definedName name="_xlnm.Print_Area" localSheetId="0">出勤簿!$A$1:$L$39</definedName>
  </definedNames>
  <calcPr calcId="145621"/>
</workbook>
</file>

<file path=xl/calcChain.xml><?xml version="1.0" encoding="utf-8"?>
<calcChain xmlns="http://schemas.openxmlformats.org/spreadsheetml/2006/main">
  <c r="A8" i="1" l="1"/>
  <c r="B8" i="1" s="1"/>
  <c r="A38" i="1"/>
  <c r="A37" i="1"/>
  <c r="E9" i="1"/>
  <c r="F9" i="1"/>
  <c r="I9" i="1" s="1"/>
  <c r="E10" i="1"/>
  <c r="F10" i="1"/>
  <c r="I10" i="1"/>
  <c r="E11" i="1"/>
  <c r="F11" i="1"/>
  <c r="I11" i="1" s="1"/>
  <c r="E12" i="1"/>
  <c r="F12" i="1"/>
  <c r="I12" i="1"/>
  <c r="E13" i="1"/>
  <c r="F13" i="1"/>
  <c r="I13" i="1" s="1"/>
  <c r="I14" i="1"/>
  <c r="I15" i="1"/>
  <c r="E16" i="1"/>
  <c r="F16" i="1"/>
  <c r="I16" i="1"/>
  <c r="E17" i="1"/>
  <c r="F17" i="1"/>
  <c r="I17" i="1" s="1"/>
  <c r="E18" i="1"/>
  <c r="F18" i="1"/>
  <c r="I18" i="1"/>
  <c r="E19" i="1"/>
  <c r="F19" i="1"/>
  <c r="I19" i="1" s="1"/>
  <c r="E20" i="1"/>
  <c r="F20" i="1"/>
  <c r="I20" i="1"/>
  <c r="I21" i="1"/>
  <c r="I22" i="1"/>
  <c r="E23" i="1"/>
  <c r="F23" i="1"/>
  <c r="I23" i="1" s="1"/>
  <c r="E24" i="1"/>
  <c r="F24" i="1"/>
  <c r="I24" i="1"/>
  <c r="E25" i="1"/>
  <c r="F25" i="1"/>
  <c r="I25" i="1" s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8" i="1"/>
  <c r="J24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 s="1"/>
  <c r="H8" i="1"/>
  <c r="E8" i="1"/>
  <c r="F8" i="1"/>
  <c r="E14" i="1"/>
  <c r="F14" i="1"/>
  <c r="E22" i="1"/>
  <c r="F22" i="1"/>
  <c r="G39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E15" i="1"/>
  <c r="E21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1" i="1"/>
  <c r="F15" i="1"/>
  <c r="A9" i="1"/>
  <c r="A10" i="1"/>
  <c r="A11" i="1" s="1"/>
  <c r="B37" i="1"/>
  <c r="B38" i="1"/>
  <c r="B9" i="1"/>
  <c r="A12" i="1" l="1"/>
  <c r="B11" i="1"/>
  <c r="I39" i="1"/>
  <c r="B10" i="1"/>
  <c r="J25" i="1"/>
  <c r="J39" i="1" s="1"/>
  <c r="A13" i="1" l="1"/>
  <c r="B12" i="1"/>
  <c r="A14" i="1" l="1"/>
  <c r="B13" i="1"/>
  <c r="A15" i="1" l="1"/>
  <c r="B14" i="1"/>
  <c r="A16" i="1" l="1"/>
  <c r="B15" i="1"/>
  <c r="B16" i="1" l="1"/>
  <c r="A17" i="1"/>
  <c r="A18" i="1" l="1"/>
  <c r="B17" i="1"/>
  <c r="B18" i="1" l="1"/>
  <c r="A19" i="1"/>
  <c r="A20" i="1" l="1"/>
  <c r="B19" i="1"/>
  <c r="B20" i="1" l="1"/>
  <c r="A21" i="1"/>
  <c r="A22" i="1" l="1"/>
  <c r="B21" i="1"/>
  <c r="B22" i="1" l="1"/>
  <c r="A23" i="1"/>
  <c r="A24" i="1" l="1"/>
  <c r="B23" i="1"/>
  <c r="B24" i="1" l="1"/>
  <c r="A25" i="1"/>
  <c r="A26" i="1" l="1"/>
  <c r="B25" i="1"/>
  <c r="B26" i="1" l="1"/>
  <c r="A27" i="1"/>
  <c r="A28" i="1" l="1"/>
  <c r="B27" i="1"/>
  <c r="B28" i="1" l="1"/>
  <c r="A29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6" i="1" s="1"/>
  <c r="B35" i="1"/>
</calcChain>
</file>

<file path=xl/sharedStrings.xml><?xml version="1.0" encoding="utf-8"?>
<sst xmlns="http://schemas.openxmlformats.org/spreadsheetml/2006/main" count="24" uniqueCount="22">
  <si>
    <t>～</t>
    <phoneticPr fontId="1"/>
  </si>
  <si>
    <t>日</t>
    <phoneticPr fontId="1"/>
  </si>
  <si>
    <t>星期</t>
    <phoneticPr fontId="1"/>
  </si>
  <si>
    <t>实际时间</t>
    <phoneticPr fontId="1"/>
  </si>
  <si>
    <t>备注</t>
    <phoneticPr fontId="1"/>
  </si>
  <si>
    <t>合     计</t>
    <phoneticPr fontId="1"/>
  </si>
  <si>
    <t>夜班时间</t>
    <phoneticPr fontId="1"/>
  </si>
  <si>
    <r>
      <t>到达公司</t>
    </r>
    <r>
      <rPr>
        <b/>
        <sz val="10"/>
        <rFont val="Times New Roman"/>
        <family val="1"/>
      </rPr>
      <t xml:space="preserve">          </t>
    </r>
    <r>
      <rPr>
        <b/>
        <sz val="10"/>
        <rFont val="宋体"/>
        <family val="3"/>
        <charset val="134"/>
      </rPr>
      <t>时间</t>
    </r>
    <phoneticPr fontId="1"/>
  </si>
  <si>
    <r>
      <t>离开公司</t>
    </r>
    <r>
      <rPr>
        <b/>
        <sz val="10"/>
        <rFont val="Times New Roman"/>
        <family val="1"/>
      </rPr>
      <t xml:space="preserve">          </t>
    </r>
    <r>
      <rPr>
        <b/>
        <sz val="10"/>
        <rFont val="宋体"/>
        <family val="3"/>
        <charset val="134"/>
      </rPr>
      <t>时间</t>
    </r>
    <phoneticPr fontId="1"/>
  </si>
  <si>
    <r>
      <t>开始工作</t>
    </r>
    <r>
      <rPr>
        <b/>
        <sz val="10"/>
        <rFont val="Times New Roman"/>
        <family val="1"/>
      </rPr>
      <t xml:space="preserve">     </t>
    </r>
    <r>
      <rPr>
        <b/>
        <sz val="10"/>
        <rFont val="宋体"/>
        <family val="3"/>
        <charset val="134"/>
      </rPr>
      <t>时间</t>
    </r>
    <phoneticPr fontId="1"/>
  </si>
  <si>
    <r>
      <t>结束工作</t>
    </r>
    <r>
      <rPr>
        <b/>
        <sz val="10"/>
        <rFont val="Times New Roman"/>
        <family val="1"/>
      </rPr>
      <t xml:space="preserve">             </t>
    </r>
    <r>
      <rPr>
        <b/>
        <sz val="10"/>
        <rFont val="宋体"/>
        <family val="3"/>
        <charset val="134"/>
      </rPr>
      <t>时间</t>
    </r>
    <phoneticPr fontId="1"/>
  </si>
  <si>
    <t>出勤簿</t>
    <phoneticPr fontId="1"/>
  </si>
  <si>
    <t>打卡时间</t>
    <phoneticPr fontId="1"/>
  </si>
  <si>
    <t>早班时间</t>
    <phoneticPr fontId="1"/>
  </si>
  <si>
    <t>实际工作时数</t>
    <phoneticPr fontId="1"/>
  </si>
  <si>
    <t>实际工作分段时数</t>
    <phoneticPr fontId="1"/>
  </si>
  <si>
    <t>晚班时间</t>
    <phoneticPr fontId="1"/>
  </si>
  <si>
    <t>早班和晚班
时数</t>
    <phoneticPr fontId="1"/>
  </si>
  <si>
    <t>夜班
时数</t>
    <phoneticPr fontId="1"/>
  </si>
  <si>
    <t>～</t>
    <phoneticPr fontId="1"/>
  </si>
  <si>
    <t>正常班时间</t>
    <phoneticPr fontId="1"/>
  </si>
  <si>
    <r>
      <t>正常班</t>
    </r>
    <r>
      <rPr>
        <b/>
        <sz val="10"/>
        <rFont val="Times New Roman"/>
        <family val="1"/>
      </rPr>
      <t xml:space="preserve">                                                          </t>
    </r>
    <r>
      <rPr>
        <b/>
        <sz val="10"/>
        <rFont val="宋体"/>
        <family val="3"/>
        <charset val="134"/>
      </rPr>
      <t>时数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</si>
</sst>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86" formatCode="0\ &quot;年&quot;"/>
    <numFmt numFmtId="187" formatCode="0\ &quot;月&quot;"/>
    <numFmt numFmtId="196" formatCode="[h]:mm"/>
    <numFmt numFmtId="197" formatCode="0.0000000000_);[Red]\(0.0000000000\)"/>
    <numFmt numFmtId="198" formatCode="aaa"/>
    <numFmt numFmtId="199" formatCode="d&quot;日&quot;"/>
  </numFmts>
  <fonts count="10">
    <font>
      <sz val="11"/>
      <name val="ＭＳ Ｐゴシック"/>
      <family val="2"/>
    </font>
    <font>
      <sz val="6"/>
      <name val="ＭＳ Ｐゴシック"/>
      <family val="2"/>
    </font>
    <font>
      <b/>
      <sz val="10"/>
      <name val="宋体"/>
      <family val="3"/>
      <charset val="134"/>
    </font>
    <font>
      <b/>
      <sz val="16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16"/>
      <name val="宋体"/>
      <family val="3"/>
      <charset val="134"/>
    </font>
    <font>
      <sz val="8"/>
      <name val="宋体"/>
      <family val="3"/>
      <charset val="134"/>
    </font>
    <font>
      <b/>
      <sz val="11"/>
      <name val="宋体"/>
      <family val="3"/>
      <charset val="134"/>
    </font>
    <font>
      <b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0" xfId="0" applyNumberFormat="1" applyAlignment="1">
      <alignment horizontal="center"/>
    </xf>
    <xf numFmtId="197" fontId="0" fillId="0" borderId="0" xfId="0" applyNumberFormat="1"/>
    <xf numFmtId="0" fontId="3" fillId="0" borderId="0" xfId="0" applyFont="1" applyAlignment="1">
      <alignment horizontal="left" vertical="top"/>
    </xf>
    <xf numFmtId="20" fontId="5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right" vertical="center"/>
    </xf>
    <xf numFmtId="20" fontId="5" fillId="2" borderId="3" xfId="0" applyNumberFormat="1" applyFont="1" applyFill="1" applyBorder="1" applyAlignment="1">
      <alignment horizontal="center" vertical="center"/>
    </xf>
    <xf numFmtId="0" fontId="5" fillId="0" borderId="0" xfId="0" applyFont="1"/>
    <xf numFmtId="20" fontId="5" fillId="2" borderId="4" xfId="0" applyNumberFormat="1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right" vertical="center"/>
    </xf>
    <xf numFmtId="20" fontId="5" fillId="2" borderId="6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20" fontId="5" fillId="2" borderId="7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right" vertical="center"/>
    </xf>
    <xf numFmtId="20" fontId="5" fillId="2" borderId="9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3" borderId="10" xfId="0" applyFont="1" applyFill="1" applyBorder="1" applyAlignment="1">
      <alignment horizontal="center" vertical="center" wrapText="1"/>
    </xf>
    <xf numFmtId="20" fontId="4" fillId="2" borderId="11" xfId="0" applyNumberFormat="1" applyFont="1" applyFill="1" applyBorder="1" applyAlignment="1">
      <alignment horizontal="center" vertical="center"/>
    </xf>
    <xf numFmtId="20" fontId="4" fillId="0" borderId="11" xfId="0" applyNumberFormat="1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vertical="center"/>
    </xf>
    <xf numFmtId="20" fontId="4" fillId="2" borderId="13" xfId="0" applyNumberFormat="1" applyFont="1" applyFill="1" applyBorder="1" applyAlignment="1">
      <alignment horizontal="center" vertical="center"/>
    </xf>
    <xf numFmtId="20" fontId="4" fillId="0" borderId="13" xfId="0" applyNumberFormat="1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vertical="center"/>
    </xf>
    <xf numFmtId="20" fontId="4" fillId="2" borderId="10" xfId="0" applyNumberFormat="1" applyFont="1" applyFill="1" applyBorder="1" applyAlignment="1">
      <alignment horizontal="center" vertical="center"/>
    </xf>
    <xf numFmtId="20" fontId="4" fillId="0" borderId="15" xfId="0" applyNumberFormat="1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vertical="center"/>
    </xf>
    <xf numFmtId="196" fontId="5" fillId="0" borderId="17" xfId="0" applyNumberFormat="1" applyFont="1" applyBorder="1" applyAlignment="1">
      <alignment horizontal="center" vertical="center"/>
    </xf>
    <xf numFmtId="0" fontId="5" fillId="0" borderId="0" xfId="0" applyFont="1" applyFill="1"/>
    <xf numFmtId="0" fontId="0" fillId="0" borderId="0" xfId="0" applyFill="1"/>
    <xf numFmtId="198" fontId="5" fillId="0" borderId="0" xfId="0" applyNumberFormat="1" applyFont="1"/>
    <xf numFmtId="198" fontId="4" fillId="0" borderId="11" xfId="0" applyNumberFormat="1" applyFont="1" applyFill="1" applyBorder="1" applyAlignment="1">
      <alignment horizontal="center" vertical="center"/>
    </xf>
    <xf numFmtId="198" fontId="4" fillId="0" borderId="13" xfId="0" applyNumberFormat="1" applyFont="1" applyFill="1" applyBorder="1" applyAlignment="1">
      <alignment horizontal="center" vertical="center"/>
    </xf>
    <xf numFmtId="198" fontId="4" fillId="0" borderId="10" xfId="0" applyNumberFormat="1" applyFont="1" applyFill="1" applyBorder="1" applyAlignment="1">
      <alignment horizontal="center" vertical="center"/>
    </xf>
    <xf numFmtId="198" fontId="0" fillId="0" borderId="0" xfId="0" applyNumberFormat="1"/>
    <xf numFmtId="199" fontId="3" fillId="0" borderId="0" xfId="0" applyNumberFormat="1" applyFont="1" applyAlignment="1">
      <alignment horizontal="left" vertical="top"/>
    </xf>
    <xf numFmtId="199" fontId="5" fillId="0" borderId="0" xfId="0" applyNumberFormat="1" applyFont="1"/>
    <xf numFmtId="199" fontId="4" fillId="0" borderId="18" xfId="0" applyNumberFormat="1" applyFont="1" applyFill="1" applyBorder="1" applyAlignment="1">
      <alignment horizontal="center" vertical="center"/>
    </xf>
    <xf numFmtId="199" fontId="4" fillId="0" borderId="19" xfId="0" applyNumberFormat="1" applyFont="1" applyFill="1" applyBorder="1" applyAlignment="1">
      <alignment horizontal="center" vertical="center"/>
    </xf>
    <xf numFmtId="199" fontId="4" fillId="0" borderId="20" xfId="0" applyNumberFormat="1" applyFont="1" applyFill="1" applyBorder="1" applyAlignment="1">
      <alignment horizontal="center" vertical="center"/>
    </xf>
    <xf numFmtId="199" fontId="0" fillId="0" borderId="0" xfId="0" applyNumberFormat="1"/>
    <xf numFmtId="20" fontId="4" fillId="0" borderId="4" xfId="0" applyNumberFormat="1" applyFont="1" applyFill="1" applyBorder="1" applyAlignment="1">
      <alignment horizontal="center" vertical="center"/>
    </xf>
    <xf numFmtId="20" fontId="4" fillId="0" borderId="27" xfId="0" applyNumberFormat="1" applyFont="1" applyFill="1" applyBorder="1" applyAlignment="1">
      <alignment horizontal="center" vertical="center"/>
    </xf>
    <xf numFmtId="20" fontId="4" fillId="0" borderId="29" xfId="0" applyNumberFormat="1" applyFont="1" applyFill="1" applyBorder="1" applyAlignment="1">
      <alignment horizontal="center" vertical="center"/>
    </xf>
    <xf numFmtId="20" fontId="4" fillId="0" borderId="3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4" fillId="3" borderId="2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20" fontId="4" fillId="0" borderId="1" xfId="0" applyNumberFormat="1" applyFont="1" applyFill="1" applyBorder="1" applyAlignment="1">
      <alignment horizontal="center" vertical="center"/>
    </xf>
    <xf numFmtId="20" fontId="4" fillId="0" borderId="28" xfId="0" applyNumberFormat="1" applyFont="1" applyFill="1" applyBorder="1" applyAlignment="1">
      <alignment horizontal="center" vertical="center"/>
    </xf>
    <xf numFmtId="196" fontId="5" fillId="0" borderId="17" xfId="0" applyNumberFormat="1" applyFont="1" applyBorder="1" applyAlignment="1">
      <alignment horizontal="center" vertical="center"/>
    </xf>
    <xf numFmtId="196" fontId="5" fillId="0" borderId="26" xfId="0" applyNumberFormat="1" applyFont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199" fontId="2" fillId="3" borderId="18" xfId="0" applyNumberFormat="1" applyFont="1" applyFill="1" applyBorder="1" applyAlignment="1">
      <alignment horizontal="center" vertical="center"/>
    </xf>
    <xf numFmtId="199" fontId="5" fillId="3" borderId="20" xfId="0" applyNumberFormat="1" applyFont="1" applyFill="1" applyBorder="1" applyAlignment="1">
      <alignment horizontal="center" vertical="center"/>
    </xf>
    <xf numFmtId="198" fontId="2" fillId="3" borderId="11" xfId="0" applyNumberFormat="1" applyFont="1" applyFill="1" applyBorder="1" applyAlignment="1">
      <alignment horizontal="center" vertical="center"/>
    </xf>
    <xf numFmtId="198" fontId="5" fillId="3" borderId="10" xfId="0" applyNumberFormat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187" fontId="3" fillId="0" borderId="0" xfId="0" applyNumberFormat="1" applyFont="1" applyBorder="1" applyAlignment="1">
      <alignment horizontal="center" vertical="top"/>
    </xf>
    <xf numFmtId="0" fontId="6" fillId="0" borderId="0" xfId="0" applyFont="1" applyAlignment="1">
      <alignment vertical="top"/>
    </xf>
    <xf numFmtId="186" fontId="3" fillId="0" borderId="0" xfId="0" applyNumberFormat="1" applyFont="1" applyBorder="1" applyAlignment="1">
      <alignment horizontal="center" vertical="top"/>
    </xf>
    <xf numFmtId="0" fontId="5" fillId="0" borderId="0" xfId="0" applyFont="1" applyAlignment="1"/>
    <xf numFmtId="0" fontId="6" fillId="0" borderId="0" xfId="0" applyFont="1" applyAlignment="1">
      <alignment horizontal="center" vertical="top"/>
    </xf>
    <xf numFmtId="0" fontId="5" fillId="2" borderId="21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0</xdr:row>
      <xdr:rowOff>47625</xdr:rowOff>
    </xdr:from>
    <xdr:to>
      <xdr:col>17</xdr:col>
      <xdr:colOff>228600</xdr:colOff>
      <xdr:row>6</xdr:row>
      <xdr:rowOff>190500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8096250" y="47625"/>
          <a:ext cx="3133725" cy="150495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969696" mc:Ignorable="a14" a14:legacySpreadsheetColorIndex="5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&lt;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使用之前，请先阅读以下说明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&gt;</a:t>
          </a:r>
        </a:p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1.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在单元格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A1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中输入公历年份（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4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位数），在单元格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C1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中输入数字月份。两者都不需要输入单位。</a:t>
          </a:r>
        </a:p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2.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在单元格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I1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至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K4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中，以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24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小时制输入工作时间段。</a:t>
          </a:r>
        </a:p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3. 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在单元格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B3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中输入员工序号，在单元格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D3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中输入姓名。</a:t>
          </a:r>
        </a:p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★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在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C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列中输入到达公司时间，在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D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列中输入离开公司时间。通宵工作时，将“结束工作时间”输入为“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24:00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”（单元格中将显示“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0:00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”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，将第二天的“开始工作时间”输入为“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0:00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”。</a:t>
          </a:r>
        </a:p>
        <a:p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★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为了打印出完整的出勤簿，我们已经设定了出勤簿的打印范围。请根据您的需要，按照路径“文件”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宋体"/>
              <a:ea typeface="宋体"/>
            </a:rPr>
            <a:t>“打印预览”进行确认。</a:t>
          </a:r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3"/>
  <sheetViews>
    <sheetView showGridLines="0" tabSelected="1" workbookViewId="0">
      <pane ySplit="7" topLeftCell="A8" activePane="bottomLeft" state="frozenSplit"/>
      <selection pane="bottomLeft" activeCell="C9" sqref="C9"/>
    </sheetView>
  </sheetViews>
  <sheetFormatPr defaultRowHeight="13.5"/>
  <cols>
    <col min="1" max="1" width="6.875" style="41" customWidth="1"/>
    <col min="2" max="2" width="6.875" style="35" customWidth="1"/>
    <col min="3" max="9" width="9.75" style="1" customWidth="1"/>
    <col min="10" max="10" width="3.5" style="1" customWidth="1"/>
    <col min="11" max="11" width="9.75" style="1" customWidth="1"/>
    <col min="12" max="12" width="9.75" customWidth="1"/>
    <col min="13" max="13" width="3.375" bestFit="1" customWidth="1"/>
    <col min="14" max="14" width="14.625" bestFit="1" customWidth="1"/>
    <col min="17" max="17" width="3.375" bestFit="1" customWidth="1"/>
  </cols>
  <sheetData>
    <row r="1" spans="1:18" ht="21.75" customHeight="1">
      <c r="A1" s="65">
        <v>2012</v>
      </c>
      <c r="B1" s="66"/>
      <c r="C1" s="63">
        <v>2</v>
      </c>
      <c r="D1" s="5" t="s">
        <v>11</v>
      </c>
      <c r="E1" s="5"/>
      <c r="F1" s="5"/>
      <c r="G1" s="76" t="s">
        <v>20</v>
      </c>
      <c r="H1" s="77"/>
      <c r="I1" s="6">
        <v>0.375</v>
      </c>
      <c r="J1" s="7" t="s">
        <v>19</v>
      </c>
      <c r="K1" s="8">
        <v>0.75</v>
      </c>
      <c r="L1" s="29"/>
      <c r="M1" s="30"/>
      <c r="N1" s="30"/>
      <c r="O1" s="30"/>
      <c r="P1" s="30"/>
      <c r="Q1" s="30"/>
      <c r="R1" s="30"/>
    </row>
    <row r="2" spans="1:18" ht="21.75" customHeight="1" thickBot="1">
      <c r="A2" s="67"/>
      <c r="B2" s="66"/>
      <c r="C2" s="64"/>
      <c r="D2" s="5"/>
      <c r="E2" s="5"/>
      <c r="F2" s="5"/>
      <c r="G2" s="78" t="s">
        <v>13</v>
      </c>
      <c r="H2" s="79"/>
      <c r="I2" s="10">
        <v>0.20833333333333334</v>
      </c>
      <c r="J2" s="11" t="s">
        <v>0</v>
      </c>
      <c r="K2" s="12">
        <v>0.375</v>
      </c>
      <c r="L2" s="29"/>
      <c r="M2" s="30"/>
      <c r="N2" s="30"/>
      <c r="O2" s="30"/>
      <c r="P2" s="30"/>
      <c r="Q2" s="30"/>
      <c r="R2" s="30"/>
    </row>
    <row r="3" spans="1:18" ht="21.75" customHeight="1" thickBot="1">
      <c r="A3" s="36"/>
      <c r="B3" s="68"/>
      <c r="C3" s="69"/>
      <c r="D3" s="50"/>
      <c r="E3" s="51"/>
      <c r="F3" s="13"/>
      <c r="G3" s="78" t="s">
        <v>16</v>
      </c>
      <c r="H3" s="79"/>
      <c r="I3" s="10">
        <v>0.75</v>
      </c>
      <c r="J3" s="11" t="s">
        <v>0</v>
      </c>
      <c r="K3" s="12">
        <v>0.95833333333333337</v>
      </c>
      <c r="L3" s="29"/>
      <c r="M3" s="30"/>
      <c r="N3" s="30"/>
      <c r="O3" s="30"/>
      <c r="P3" s="30"/>
      <c r="Q3" s="30"/>
      <c r="R3" s="30"/>
    </row>
    <row r="4" spans="1:18" ht="21.75" customHeight="1" thickBot="1">
      <c r="A4" s="46"/>
      <c r="B4" s="46"/>
      <c r="C4" s="46"/>
      <c r="D4" s="46"/>
      <c r="E4" s="46"/>
      <c r="F4" s="47"/>
      <c r="G4" s="48" t="s">
        <v>6</v>
      </c>
      <c r="H4" s="49"/>
      <c r="I4" s="14">
        <v>0.95833333333333337</v>
      </c>
      <c r="J4" s="15" t="s">
        <v>0</v>
      </c>
      <c r="K4" s="16">
        <v>0.20833333333333334</v>
      </c>
      <c r="L4" s="29"/>
      <c r="M4" s="30"/>
      <c r="N4" s="30"/>
      <c r="O4" s="30"/>
      <c r="P4" s="30"/>
      <c r="Q4" s="30"/>
      <c r="R4" s="30"/>
    </row>
    <row r="5" spans="1:18" ht="3.75" customHeight="1" thickBot="1">
      <c r="A5" s="37"/>
      <c r="B5" s="31"/>
      <c r="C5" s="17"/>
      <c r="D5" s="17"/>
      <c r="E5" s="17"/>
      <c r="F5" s="17"/>
      <c r="G5" s="17"/>
      <c r="H5" s="17"/>
      <c r="I5" s="17"/>
      <c r="J5" s="17"/>
      <c r="K5" s="17"/>
      <c r="L5" s="29"/>
      <c r="M5" s="30"/>
      <c r="N5" s="30"/>
      <c r="O5" s="30"/>
      <c r="P5" s="30"/>
      <c r="Q5" s="30"/>
      <c r="R5" s="30"/>
    </row>
    <row r="6" spans="1:18" ht="16.5" customHeight="1">
      <c r="A6" s="58" t="s">
        <v>1</v>
      </c>
      <c r="B6" s="60" t="s">
        <v>2</v>
      </c>
      <c r="C6" s="62" t="s">
        <v>12</v>
      </c>
      <c r="D6" s="62"/>
      <c r="E6" s="62" t="s">
        <v>3</v>
      </c>
      <c r="F6" s="62"/>
      <c r="G6" s="62" t="s">
        <v>15</v>
      </c>
      <c r="H6" s="62"/>
      <c r="I6" s="62"/>
      <c r="J6" s="72" t="s">
        <v>14</v>
      </c>
      <c r="K6" s="73"/>
      <c r="L6" s="70" t="s">
        <v>4</v>
      </c>
      <c r="M6" s="30"/>
      <c r="N6" s="30"/>
      <c r="O6" s="30"/>
      <c r="P6" s="30"/>
      <c r="Q6" s="30"/>
      <c r="R6" s="30"/>
    </row>
    <row r="7" spans="1:18" ht="30.75" customHeight="1" thickBot="1">
      <c r="A7" s="59"/>
      <c r="B7" s="61"/>
      <c r="C7" s="18" t="s">
        <v>7</v>
      </c>
      <c r="D7" s="18" t="s">
        <v>8</v>
      </c>
      <c r="E7" s="18" t="s">
        <v>9</v>
      </c>
      <c r="F7" s="18" t="s">
        <v>10</v>
      </c>
      <c r="G7" s="18" t="s">
        <v>21</v>
      </c>
      <c r="H7" s="18" t="s">
        <v>17</v>
      </c>
      <c r="I7" s="18" t="s">
        <v>18</v>
      </c>
      <c r="J7" s="74"/>
      <c r="K7" s="75"/>
      <c r="L7" s="71"/>
      <c r="M7" s="30"/>
      <c r="N7" s="30"/>
      <c r="O7" s="30"/>
      <c r="P7" s="30"/>
      <c r="Q7" s="30"/>
      <c r="R7" s="30"/>
    </row>
    <row r="8" spans="1:18">
      <c r="A8" s="38">
        <f>DATE(A1,C1,1)</f>
        <v>40940</v>
      </c>
      <c r="B8" s="32">
        <f>A8</f>
        <v>40940</v>
      </c>
      <c r="C8" s="19"/>
      <c r="D8" s="19"/>
      <c r="E8" s="20" t="str">
        <f>IF(OR(C8="",D8=""),"",CEILING(C8,TIME(0,10,0)))</f>
        <v/>
      </c>
      <c r="F8" s="20" t="str">
        <f t="shared" ref="F8:F38" si="0">IF(OR(C8="",D8=""),"",(FLOOR(D8,TIME(0,10,0))))</f>
        <v/>
      </c>
      <c r="G8" s="20" t="str">
        <f t="shared" ref="G8:G38" si="1">IF(OR(C8="",D8=""),"",IF(E8&lt;=$I$1,IF(F8&lt;=$I$1,0,IF(F8&lt;=$K$1,F8-$I$1,$K$1-$I$1)),IF(F8&lt;=$K$1,F8-E8,IF($K$1-E8&lt;0,0,$K$1-E8))))</f>
        <v/>
      </c>
      <c r="H8" s="20" t="str">
        <f>IF(OR(C8="",D8=""),"",IF(E8&lt;=$K$2,IF(E8&lt;=$I$2,IF(F8&lt;=$I$1,IF(F8-$I$2&lt;0,0,F8-$I$2),$K$2-$I$2),IF(F8&lt;=$I$1,F8-E8,$K$2-E8)),0)+IF(F8&gt;=$I$3,IF(F8&gt;=$K$3,$K$3-$I$3,F8-$I$3),0))</f>
        <v/>
      </c>
      <c r="I8" s="20" t="str">
        <f>IF(OR(C8="",D8=""),"",IF(AND(AND(E8&gt;=0,E8&lt;=$K$4),AND(F8&gt;=0,F8&lt;=$K$4)),F8-E8,(IF(E8&lt;$K$4,$K$4-E8,0)+IF(F8&gt;$I$4,F8-$I$4,0))))</f>
        <v/>
      </c>
      <c r="J8" s="52" t="str">
        <f t="shared" ref="J8:J38" si="2">IF(OR(C8="",D8=""),"",F8-E8)</f>
        <v/>
      </c>
      <c r="K8" s="53"/>
      <c r="L8" s="21"/>
      <c r="N8" s="2"/>
    </row>
    <row r="9" spans="1:18">
      <c r="A9" s="39">
        <f t="shared" ref="A9:A35" si="3">A8+1</f>
        <v>40941</v>
      </c>
      <c r="B9" s="33">
        <f t="shared" ref="B9:B38" si="4">A9</f>
        <v>40941</v>
      </c>
      <c r="C9" s="22"/>
      <c r="D9" s="22"/>
      <c r="E9" s="23" t="str">
        <f>IF(OR(C9="",D9=""),"",CEILING(C9,TIME(0,10,0)))</f>
        <v/>
      </c>
      <c r="F9" s="23" t="str">
        <f t="shared" si="0"/>
        <v/>
      </c>
      <c r="G9" s="23" t="str">
        <f t="shared" si="1"/>
        <v/>
      </c>
      <c r="H9" s="23" t="str">
        <f t="shared" ref="H9:H38" si="5">IF(OR(C9="",D9=""),"",IF(E9&lt;=$K$2,IF(E9&lt;=$I$2,IF(F9&lt;=$I$1,IF(F9-$I$2&lt;0,0,F9-$I$2),$K$2-$I$2),IF(F9&lt;=$I$1,F9-E9,$K$2-E9)),0)+IF(F9&gt;=$I$3,IF(F9&gt;=$K$3,$K$3-$I$3,F9-$I$3),0))</f>
        <v/>
      </c>
      <c r="I9" s="23" t="str">
        <f t="shared" ref="I9:I38" si="6">IF(OR(C9="",D9=""),"",IF(AND(AND(E9&gt;=0,E9&lt;=$K$4),AND(F9&gt;=0,F9&lt;=$K$4)),F9-E9,(IF(E9&lt;$K$4,$K$4-E9,0)+IF(F9&gt;$I$4,F9-$I$4,0))))</f>
        <v/>
      </c>
      <c r="J9" s="42" t="str">
        <f t="shared" si="2"/>
        <v/>
      </c>
      <c r="K9" s="43"/>
      <c r="L9" s="24"/>
      <c r="N9" s="2"/>
    </row>
    <row r="10" spans="1:18">
      <c r="A10" s="39">
        <f t="shared" si="3"/>
        <v>40942</v>
      </c>
      <c r="B10" s="33">
        <f t="shared" si="4"/>
        <v>40942</v>
      </c>
      <c r="C10" s="22"/>
      <c r="D10" s="22"/>
      <c r="E10" s="23" t="str">
        <f>IF(OR(C10="",D10=""),"",CEILING(C10,TIME(0,10,0)))</f>
        <v/>
      </c>
      <c r="F10" s="23" t="str">
        <f t="shared" si="0"/>
        <v/>
      </c>
      <c r="G10" s="23" t="str">
        <f t="shared" si="1"/>
        <v/>
      </c>
      <c r="H10" s="23" t="str">
        <f t="shared" si="5"/>
        <v/>
      </c>
      <c r="I10" s="23" t="str">
        <f t="shared" si="6"/>
        <v/>
      </c>
      <c r="J10" s="42" t="str">
        <f t="shared" si="2"/>
        <v/>
      </c>
      <c r="K10" s="43"/>
      <c r="L10" s="24"/>
      <c r="N10" s="2"/>
      <c r="O10" s="2"/>
    </row>
    <row r="11" spans="1:18">
      <c r="A11" s="39">
        <f t="shared" si="3"/>
        <v>40943</v>
      </c>
      <c r="B11" s="33">
        <f t="shared" si="4"/>
        <v>40943</v>
      </c>
      <c r="C11" s="22"/>
      <c r="D11" s="22"/>
      <c r="E11" s="23" t="str">
        <f>IF(OR(C11="",D11=""),"",CEILING(C11,TIME(0,10,0)))</f>
        <v/>
      </c>
      <c r="F11" s="23" t="str">
        <f t="shared" si="0"/>
        <v/>
      </c>
      <c r="G11" s="23" t="str">
        <f t="shared" si="1"/>
        <v/>
      </c>
      <c r="H11" s="23" t="str">
        <f t="shared" si="5"/>
        <v/>
      </c>
      <c r="I11" s="23" t="str">
        <f t="shared" si="6"/>
        <v/>
      </c>
      <c r="J11" s="42" t="str">
        <f t="shared" si="2"/>
        <v/>
      </c>
      <c r="K11" s="43"/>
      <c r="L11" s="24"/>
      <c r="N11" s="2"/>
    </row>
    <row r="12" spans="1:18">
      <c r="A12" s="39">
        <f t="shared" si="3"/>
        <v>40944</v>
      </c>
      <c r="B12" s="33">
        <f t="shared" si="4"/>
        <v>40944</v>
      </c>
      <c r="C12" s="22"/>
      <c r="D12" s="22"/>
      <c r="E12" s="23" t="str">
        <f t="shared" ref="E12:E38" si="7">IF(OR(C12="",D12=""),"",CEILING(C12,TIME(0,10,0)))</f>
        <v/>
      </c>
      <c r="F12" s="23" t="str">
        <f t="shared" si="0"/>
        <v/>
      </c>
      <c r="G12" s="23" t="str">
        <f t="shared" si="1"/>
        <v/>
      </c>
      <c r="H12" s="23" t="str">
        <f t="shared" si="5"/>
        <v/>
      </c>
      <c r="I12" s="23" t="str">
        <f t="shared" si="6"/>
        <v/>
      </c>
      <c r="J12" s="42" t="str">
        <f t="shared" si="2"/>
        <v/>
      </c>
      <c r="K12" s="43"/>
      <c r="L12" s="24"/>
      <c r="N12" s="2"/>
    </row>
    <row r="13" spans="1:18">
      <c r="A13" s="39">
        <f t="shared" si="3"/>
        <v>40945</v>
      </c>
      <c r="B13" s="33">
        <f t="shared" si="4"/>
        <v>40945</v>
      </c>
      <c r="C13" s="22"/>
      <c r="D13" s="22"/>
      <c r="E13" s="23" t="str">
        <f t="shared" si="7"/>
        <v/>
      </c>
      <c r="F13" s="23" t="str">
        <f t="shared" si="0"/>
        <v/>
      </c>
      <c r="G13" s="23" t="str">
        <f t="shared" si="1"/>
        <v/>
      </c>
      <c r="H13" s="23" t="str">
        <f t="shared" si="5"/>
        <v/>
      </c>
      <c r="I13" s="23" t="str">
        <f t="shared" si="6"/>
        <v/>
      </c>
      <c r="J13" s="42" t="str">
        <f t="shared" si="2"/>
        <v/>
      </c>
      <c r="K13" s="43"/>
      <c r="L13" s="24"/>
      <c r="N13" s="2"/>
    </row>
    <row r="14" spans="1:18">
      <c r="A14" s="39">
        <f t="shared" si="3"/>
        <v>40946</v>
      </c>
      <c r="B14" s="33">
        <f t="shared" si="4"/>
        <v>40946</v>
      </c>
      <c r="C14" s="22"/>
      <c r="D14" s="22"/>
      <c r="E14" s="23" t="str">
        <f t="shared" si="7"/>
        <v/>
      </c>
      <c r="F14" s="23" t="str">
        <f t="shared" si="0"/>
        <v/>
      </c>
      <c r="G14" s="23" t="str">
        <f t="shared" si="1"/>
        <v/>
      </c>
      <c r="H14" s="23" t="str">
        <f t="shared" si="5"/>
        <v/>
      </c>
      <c r="I14" s="23" t="str">
        <f t="shared" si="6"/>
        <v/>
      </c>
      <c r="J14" s="42" t="str">
        <f t="shared" si="2"/>
        <v/>
      </c>
      <c r="K14" s="43"/>
      <c r="L14" s="24"/>
      <c r="N14" s="2"/>
    </row>
    <row r="15" spans="1:18">
      <c r="A15" s="39">
        <f t="shared" si="3"/>
        <v>40947</v>
      </c>
      <c r="B15" s="33">
        <f t="shared" si="4"/>
        <v>40947</v>
      </c>
      <c r="C15" s="22"/>
      <c r="D15" s="22"/>
      <c r="E15" s="23" t="str">
        <f t="shared" si="7"/>
        <v/>
      </c>
      <c r="F15" s="23" t="str">
        <f t="shared" si="0"/>
        <v/>
      </c>
      <c r="G15" s="23" t="str">
        <f t="shared" si="1"/>
        <v/>
      </c>
      <c r="H15" s="23" t="str">
        <f t="shared" si="5"/>
        <v/>
      </c>
      <c r="I15" s="23" t="str">
        <f t="shared" si="6"/>
        <v/>
      </c>
      <c r="J15" s="42" t="str">
        <f t="shared" si="2"/>
        <v/>
      </c>
      <c r="K15" s="43"/>
      <c r="L15" s="24"/>
      <c r="N15" s="2"/>
    </row>
    <row r="16" spans="1:18">
      <c r="A16" s="39">
        <f t="shared" si="3"/>
        <v>40948</v>
      </c>
      <c r="B16" s="33">
        <f t="shared" si="4"/>
        <v>40948</v>
      </c>
      <c r="C16" s="22"/>
      <c r="D16" s="22"/>
      <c r="E16" s="23" t="str">
        <f t="shared" si="7"/>
        <v/>
      </c>
      <c r="F16" s="23" t="str">
        <f t="shared" si="0"/>
        <v/>
      </c>
      <c r="G16" s="23" t="str">
        <f t="shared" si="1"/>
        <v/>
      </c>
      <c r="H16" s="23" t="str">
        <f t="shared" si="5"/>
        <v/>
      </c>
      <c r="I16" s="23" t="str">
        <f t="shared" si="6"/>
        <v/>
      </c>
      <c r="J16" s="42" t="str">
        <f t="shared" si="2"/>
        <v/>
      </c>
      <c r="K16" s="43"/>
      <c r="L16" s="24"/>
      <c r="N16" s="2"/>
    </row>
    <row r="17" spans="1:14">
      <c r="A17" s="39">
        <f t="shared" si="3"/>
        <v>40949</v>
      </c>
      <c r="B17" s="33">
        <f t="shared" si="4"/>
        <v>40949</v>
      </c>
      <c r="C17" s="22"/>
      <c r="D17" s="22"/>
      <c r="E17" s="23" t="str">
        <f t="shared" si="7"/>
        <v/>
      </c>
      <c r="F17" s="23" t="str">
        <f t="shared" si="0"/>
        <v/>
      </c>
      <c r="G17" s="23" t="str">
        <f t="shared" si="1"/>
        <v/>
      </c>
      <c r="H17" s="23" t="str">
        <f t="shared" si="5"/>
        <v/>
      </c>
      <c r="I17" s="23" t="str">
        <f t="shared" si="6"/>
        <v/>
      </c>
      <c r="J17" s="42" t="str">
        <f t="shared" si="2"/>
        <v/>
      </c>
      <c r="K17" s="43"/>
      <c r="L17" s="24"/>
      <c r="N17" s="2"/>
    </row>
    <row r="18" spans="1:14">
      <c r="A18" s="39">
        <f t="shared" si="3"/>
        <v>40950</v>
      </c>
      <c r="B18" s="33">
        <f t="shared" si="4"/>
        <v>40950</v>
      </c>
      <c r="C18" s="22"/>
      <c r="D18" s="22"/>
      <c r="E18" s="23" t="str">
        <f t="shared" si="7"/>
        <v/>
      </c>
      <c r="F18" s="23" t="str">
        <f t="shared" si="0"/>
        <v/>
      </c>
      <c r="G18" s="23" t="str">
        <f t="shared" si="1"/>
        <v/>
      </c>
      <c r="H18" s="23" t="str">
        <f t="shared" si="5"/>
        <v/>
      </c>
      <c r="I18" s="23" t="str">
        <f t="shared" si="6"/>
        <v/>
      </c>
      <c r="J18" s="42" t="str">
        <f t="shared" si="2"/>
        <v/>
      </c>
      <c r="K18" s="43"/>
      <c r="L18" s="24"/>
      <c r="N18" s="2"/>
    </row>
    <row r="19" spans="1:14">
      <c r="A19" s="39">
        <f t="shared" si="3"/>
        <v>40951</v>
      </c>
      <c r="B19" s="33">
        <f t="shared" si="4"/>
        <v>40951</v>
      </c>
      <c r="C19" s="22"/>
      <c r="D19" s="22"/>
      <c r="E19" s="23" t="str">
        <f t="shared" si="7"/>
        <v/>
      </c>
      <c r="F19" s="23" t="str">
        <f t="shared" si="0"/>
        <v/>
      </c>
      <c r="G19" s="23" t="str">
        <f t="shared" si="1"/>
        <v/>
      </c>
      <c r="H19" s="23" t="str">
        <f t="shared" si="5"/>
        <v/>
      </c>
      <c r="I19" s="23" t="str">
        <f t="shared" si="6"/>
        <v/>
      </c>
      <c r="J19" s="42" t="str">
        <f t="shared" si="2"/>
        <v/>
      </c>
      <c r="K19" s="43"/>
      <c r="L19" s="24"/>
      <c r="N19" s="2"/>
    </row>
    <row r="20" spans="1:14">
      <c r="A20" s="39">
        <f t="shared" si="3"/>
        <v>40952</v>
      </c>
      <c r="B20" s="33">
        <f t="shared" si="4"/>
        <v>40952</v>
      </c>
      <c r="C20" s="22"/>
      <c r="D20" s="22"/>
      <c r="E20" s="23" t="str">
        <f t="shared" si="7"/>
        <v/>
      </c>
      <c r="F20" s="23" t="str">
        <f t="shared" si="0"/>
        <v/>
      </c>
      <c r="G20" s="23" t="str">
        <f t="shared" si="1"/>
        <v/>
      </c>
      <c r="H20" s="23" t="str">
        <f t="shared" si="5"/>
        <v/>
      </c>
      <c r="I20" s="23" t="str">
        <f t="shared" si="6"/>
        <v/>
      </c>
      <c r="J20" s="42" t="str">
        <f t="shared" si="2"/>
        <v/>
      </c>
      <c r="K20" s="43"/>
      <c r="L20" s="24"/>
      <c r="N20" s="2"/>
    </row>
    <row r="21" spans="1:14">
      <c r="A21" s="39">
        <f t="shared" si="3"/>
        <v>40953</v>
      </c>
      <c r="B21" s="33">
        <f t="shared" si="4"/>
        <v>40953</v>
      </c>
      <c r="C21" s="22"/>
      <c r="D21" s="22"/>
      <c r="E21" s="23" t="str">
        <f t="shared" si="7"/>
        <v/>
      </c>
      <c r="F21" s="23" t="str">
        <f t="shared" si="0"/>
        <v/>
      </c>
      <c r="G21" s="23" t="str">
        <f t="shared" si="1"/>
        <v/>
      </c>
      <c r="H21" s="23" t="str">
        <f t="shared" si="5"/>
        <v/>
      </c>
      <c r="I21" s="23" t="str">
        <f t="shared" si="6"/>
        <v/>
      </c>
      <c r="J21" s="42" t="str">
        <f t="shared" si="2"/>
        <v/>
      </c>
      <c r="K21" s="43"/>
      <c r="L21" s="24"/>
      <c r="N21" s="2"/>
    </row>
    <row r="22" spans="1:14">
      <c r="A22" s="39">
        <f t="shared" si="3"/>
        <v>40954</v>
      </c>
      <c r="B22" s="33">
        <f t="shared" si="4"/>
        <v>40954</v>
      </c>
      <c r="C22" s="22"/>
      <c r="D22" s="22"/>
      <c r="E22" s="23" t="str">
        <f t="shared" si="7"/>
        <v/>
      </c>
      <c r="F22" s="23" t="str">
        <f t="shared" si="0"/>
        <v/>
      </c>
      <c r="G22" s="23" t="str">
        <f t="shared" si="1"/>
        <v/>
      </c>
      <c r="H22" s="23" t="str">
        <f t="shared" si="5"/>
        <v/>
      </c>
      <c r="I22" s="23" t="str">
        <f t="shared" si="6"/>
        <v/>
      </c>
      <c r="J22" s="42" t="str">
        <f t="shared" si="2"/>
        <v/>
      </c>
      <c r="K22" s="43"/>
      <c r="L22" s="24"/>
      <c r="N22" s="2"/>
    </row>
    <row r="23" spans="1:14">
      <c r="A23" s="39">
        <f t="shared" si="3"/>
        <v>40955</v>
      </c>
      <c r="B23" s="33">
        <f t="shared" si="4"/>
        <v>40955</v>
      </c>
      <c r="C23" s="22"/>
      <c r="D23" s="22"/>
      <c r="E23" s="23" t="str">
        <f t="shared" si="7"/>
        <v/>
      </c>
      <c r="F23" s="23" t="str">
        <f>IF(OR(C23="",D23=""),"",(FLOOR(D23,TIME(0,10,0))))</f>
        <v/>
      </c>
      <c r="G23" s="23" t="str">
        <f t="shared" si="1"/>
        <v/>
      </c>
      <c r="H23" s="23" t="str">
        <f t="shared" si="5"/>
        <v/>
      </c>
      <c r="I23" s="23" t="str">
        <f t="shared" si="6"/>
        <v/>
      </c>
      <c r="J23" s="42" t="str">
        <f t="shared" si="2"/>
        <v/>
      </c>
      <c r="K23" s="43"/>
      <c r="L23" s="24"/>
      <c r="N23" s="2"/>
    </row>
    <row r="24" spans="1:14">
      <c r="A24" s="39">
        <f t="shared" si="3"/>
        <v>40956</v>
      </c>
      <c r="B24" s="33">
        <f t="shared" si="4"/>
        <v>40956</v>
      </c>
      <c r="C24" s="22"/>
      <c r="D24" s="22"/>
      <c r="E24" s="23" t="str">
        <f t="shared" si="7"/>
        <v/>
      </c>
      <c r="F24" s="23" t="str">
        <f>IF(OR(C24="",D24=""),"",(FLOOR(D24,TIME(0,10,0))))</f>
        <v/>
      </c>
      <c r="G24" s="23" t="str">
        <f t="shared" si="1"/>
        <v/>
      </c>
      <c r="H24" s="23" t="str">
        <f t="shared" si="5"/>
        <v/>
      </c>
      <c r="I24" s="23" t="str">
        <f t="shared" si="6"/>
        <v/>
      </c>
      <c r="J24" s="42" t="str">
        <f>IF(OR(C24="",D24=""),"",F24-E24)</f>
        <v/>
      </c>
      <c r="K24" s="43"/>
      <c r="L24" s="24"/>
      <c r="N24" s="4"/>
    </row>
    <row r="25" spans="1:14">
      <c r="A25" s="39">
        <f t="shared" si="3"/>
        <v>40957</v>
      </c>
      <c r="B25" s="33">
        <f t="shared" si="4"/>
        <v>40957</v>
      </c>
      <c r="C25" s="22"/>
      <c r="D25" s="22"/>
      <c r="E25" s="23" t="str">
        <f t="shared" si="7"/>
        <v/>
      </c>
      <c r="F25" s="23" t="str">
        <f>IF(OR(C25="",D25=""),"",(FLOOR(D25,TIME(0,10,0))))</f>
        <v/>
      </c>
      <c r="G25" s="23" t="str">
        <f t="shared" si="1"/>
        <v/>
      </c>
      <c r="H25" s="23" t="str">
        <f t="shared" si="5"/>
        <v/>
      </c>
      <c r="I25" s="23" t="str">
        <f t="shared" si="6"/>
        <v/>
      </c>
      <c r="J25" s="42" t="str">
        <f>IF(OR(C25="",D25=""),"",F25-E25)</f>
        <v/>
      </c>
      <c r="K25" s="43"/>
      <c r="L25" s="24"/>
      <c r="N25" s="2"/>
    </row>
    <row r="26" spans="1:14">
      <c r="A26" s="39">
        <f t="shared" si="3"/>
        <v>40958</v>
      </c>
      <c r="B26" s="33">
        <f t="shared" si="4"/>
        <v>40958</v>
      </c>
      <c r="C26" s="22"/>
      <c r="D26" s="22"/>
      <c r="E26" s="23" t="str">
        <f t="shared" si="7"/>
        <v/>
      </c>
      <c r="F26" s="23" t="str">
        <f t="shared" si="0"/>
        <v/>
      </c>
      <c r="G26" s="23" t="str">
        <f t="shared" si="1"/>
        <v/>
      </c>
      <c r="H26" s="23" t="str">
        <f t="shared" si="5"/>
        <v/>
      </c>
      <c r="I26" s="23" t="str">
        <f t="shared" si="6"/>
        <v/>
      </c>
      <c r="J26" s="42" t="str">
        <f t="shared" si="2"/>
        <v/>
      </c>
      <c r="K26" s="43"/>
      <c r="L26" s="24"/>
    </row>
    <row r="27" spans="1:14">
      <c r="A27" s="39">
        <f t="shared" si="3"/>
        <v>40959</v>
      </c>
      <c r="B27" s="33">
        <f t="shared" si="4"/>
        <v>40959</v>
      </c>
      <c r="C27" s="22"/>
      <c r="D27" s="22"/>
      <c r="E27" s="23" t="str">
        <f t="shared" si="7"/>
        <v/>
      </c>
      <c r="F27" s="23" t="str">
        <f t="shared" si="0"/>
        <v/>
      </c>
      <c r="G27" s="23" t="str">
        <f t="shared" si="1"/>
        <v/>
      </c>
      <c r="H27" s="23" t="str">
        <f t="shared" si="5"/>
        <v/>
      </c>
      <c r="I27" s="23" t="str">
        <f t="shared" si="6"/>
        <v/>
      </c>
      <c r="J27" s="42" t="str">
        <f t="shared" si="2"/>
        <v/>
      </c>
      <c r="K27" s="43"/>
      <c r="L27" s="24"/>
    </row>
    <row r="28" spans="1:14">
      <c r="A28" s="39">
        <f t="shared" si="3"/>
        <v>40960</v>
      </c>
      <c r="B28" s="33">
        <f t="shared" si="4"/>
        <v>40960</v>
      </c>
      <c r="C28" s="22"/>
      <c r="D28" s="22"/>
      <c r="E28" s="23" t="str">
        <f t="shared" si="7"/>
        <v/>
      </c>
      <c r="F28" s="23" t="str">
        <f t="shared" si="0"/>
        <v/>
      </c>
      <c r="G28" s="23" t="str">
        <f t="shared" si="1"/>
        <v/>
      </c>
      <c r="H28" s="23" t="str">
        <f t="shared" si="5"/>
        <v/>
      </c>
      <c r="I28" s="23" t="str">
        <f t="shared" si="6"/>
        <v/>
      </c>
      <c r="J28" s="42" t="str">
        <f t="shared" si="2"/>
        <v/>
      </c>
      <c r="K28" s="43"/>
      <c r="L28" s="24"/>
    </row>
    <row r="29" spans="1:14">
      <c r="A29" s="39">
        <f t="shared" si="3"/>
        <v>40961</v>
      </c>
      <c r="B29" s="33">
        <f t="shared" si="4"/>
        <v>40961</v>
      </c>
      <c r="C29" s="22"/>
      <c r="D29" s="22"/>
      <c r="E29" s="23" t="str">
        <f t="shared" si="7"/>
        <v/>
      </c>
      <c r="F29" s="23" t="str">
        <f t="shared" si="0"/>
        <v/>
      </c>
      <c r="G29" s="23" t="str">
        <f t="shared" si="1"/>
        <v/>
      </c>
      <c r="H29" s="23" t="str">
        <f t="shared" si="5"/>
        <v/>
      </c>
      <c r="I29" s="23" t="str">
        <f t="shared" si="6"/>
        <v/>
      </c>
      <c r="J29" s="42" t="str">
        <f t="shared" si="2"/>
        <v/>
      </c>
      <c r="K29" s="43"/>
      <c r="L29" s="24"/>
    </row>
    <row r="30" spans="1:14">
      <c r="A30" s="39">
        <f t="shared" si="3"/>
        <v>40962</v>
      </c>
      <c r="B30" s="33">
        <f t="shared" si="4"/>
        <v>40962</v>
      </c>
      <c r="C30" s="22"/>
      <c r="D30" s="22"/>
      <c r="E30" s="23" t="str">
        <f t="shared" si="7"/>
        <v/>
      </c>
      <c r="F30" s="23" t="str">
        <f t="shared" si="0"/>
        <v/>
      </c>
      <c r="G30" s="23" t="str">
        <f t="shared" si="1"/>
        <v/>
      </c>
      <c r="H30" s="23" t="str">
        <f t="shared" si="5"/>
        <v/>
      </c>
      <c r="I30" s="23" t="str">
        <f t="shared" si="6"/>
        <v/>
      </c>
      <c r="J30" s="42" t="str">
        <f t="shared" si="2"/>
        <v/>
      </c>
      <c r="K30" s="43"/>
      <c r="L30" s="24"/>
    </row>
    <row r="31" spans="1:14">
      <c r="A31" s="39">
        <f t="shared" si="3"/>
        <v>40963</v>
      </c>
      <c r="B31" s="33">
        <f t="shared" si="4"/>
        <v>40963</v>
      </c>
      <c r="C31" s="22"/>
      <c r="D31" s="22"/>
      <c r="E31" s="23" t="str">
        <f t="shared" si="7"/>
        <v/>
      </c>
      <c r="F31" s="23" t="str">
        <f t="shared" si="0"/>
        <v/>
      </c>
      <c r="G31" s="23" t="str">
        <f t="shared" si="1"/>
        <v/>
      </c>
      <c r="H31" s="23" t="str">
        <f t="shared" si="5"/>
        <v/>
      </c>
      <c r="I31" s="23" t="str">
        <f t="shared" si="6"/>
        <v/>
      </c>
      <c r="J31" s="42" t="str">
        <f t="shared" si="2"/>
        <v/>
      </c>
      <c r="K31" s="43"/>
      <c r="L31" s="24"/>
    </row>
    <row r="32" spans="1:14">
      <c r="A32" s="39">
        <f t="shared" si="3"/>
        <v>40964</v>
      </c>
      <c r="B32" s="33">
        <f t="shared" si="4"/>
        <v>40964</v>
      </c>
      <c r="C32" s="22"/>
      <c r="D32" s="22"/>
      <c r="E32" s="23" t="str">
        <f t="shared" si="7"/>
        <v/>
      </c>
      <c r="F32" s="23" t="str">
        <f t="shared" si="0"/>
        <v/>
      </c>
      <c r="G32" s="23" t="str">
        <f t="shared" si="1"/>
        <v/>
      </c>
      <c r="H32" s="23" t="str">
        <f t="shared" si="5"/>
        <v/>
      </c>
      <c r="I32" s="23" t="str">
        <f t="shared" si="6"/>
        <v/>
      </c>
      <c r="J32" s="42" t="str">
        <f t="shared" si="2"/>
        <v/>
      </c>
      <c r="K32" s="43"/>
      <c r="L32" s="24"/>
    </row>
    <row r="33" spans="1:12">
      <c r="A33" s="39">
        <f t="shared" si="3"/>
        <v>40965</v>
      </c>
      <c r="B33" s="33">
        <f t="shared" si="4"/>
        <v>40965</v>
      </c>
      <c r="C33" s="22"/>
      <c r="D33" s="22"/>
      <c r="E33" s="23" t="str">
        <f t="shared" si="7"/>
        <v/>
      </c>
      <c r="F33" s="23" t="str">
        <f t="shared" si="0"/>
        <v/>
      </c>
      <c r="G33" s="23" t="str">
        <f t="shared" si="1"/>
        <v/>
      </c>
      <c r="H33" s="23" t="str">
        <f t="shared" si="5"/>
        <v/>
      </c>
      <c r="I33" s="23" t="str">
        <f t="shared" si="6"/>
        <v/>
      </c>
      <c r="J33" s="42" t="str">
        <f t="shared" si="2"/>
        <v/>
      </c>
      <c r="K33" s="43"/>
      <c r="L33" s="24"/>
    </row>
    <row r="34" spans="1:12">
      <c r="A34" s="39">
        <f t="shared" si="3"/>
        <v>40966</v>
      </c>
      <c r="B34" s="33">
        <f t="shared" si="4"/>
        <v>40966</v>
      </c>
      <c r="C34" s="22"/>
      <c r="D34" s="22"/>
      <c r="E34" s="23" t="str">
        <f t="shared" si="7"/>
        <v/>
      </c>
      <c r="F34" s="23" t="str">
        <f t="shared" si="0"/>
        <v/>
      </c>
      <c r="G34" s="23" t="str">
        <f t="shared" si="1"/>
        <v/>
      </c>
      <c r="H34" s="23" t="str">
        <f t="shared" si="5"/>
        <v/>
      </c>
      <c r="I34" s="23" t="str">
        <f t="shared" si="6"/>
        <v/>
      </c>
      <c r="J34" s="42" t="str">
        <f t="shared" si="2"/>
        <v/>
      </c>
      <c r="K34" s="43"/>
      <c r="L34" s="24"/>
    </row>
    <row r="35" spans="1:12">
      <c r="A35" s="39">
        <f t="shared" si="3"/>
        <v>40967</v>
      </c>
      <c r="B35" s="33">
        <f t="shared" si="4"/>
        <v>40967</v>
      </c>
      <c r="C35" s="22"/>
      <c r="D35" s="22"/>
      <c r="E35" s="23" t="str">
        <f t="shared" si="7"/>
        <v/>
      </c>
      <c r="F35" s="23" t="str">
        <f t="shared" si="0"/>
        <v/>
      </c>
      <c r="G35" s="23" t="str">
        <f t="shared" si="1"/>
        <v/>
      </c>
      <c r="H35" s="23" t="str">
        <f t="shared" si="5"/>
        <v/>
      </c>
      <c r="I35" s="23" t="str">
        <f t="shared" si="6"/>
        <v/>
      </c>
      <c r="J35" s="42" t="str">
        <f t="shared" si="2"/>
        <v/>
      </c>
      <c r="K35" s="43"/>
      <c r="L35" s="24"/>
    </row>
    <row r="36" spans="1:12">
      <c r="A36" s="39">
        <f ca="1">IF(AND(C1=2,MOD(YEAR(TODAY()),4)&lt;&gt;0),"--",A35+1)</f>
        <v>40968</v>
      </c>
      <c r="B36" s="33">
        <f t="shared" ca="1" si="4"/>
        <v>40968</v>
      </c>
      <c r="C36" s="22"/>
      <c r="D36" s="22"/>
      <c r="E36" s="23" t="str">
        <f t="shared" si="7"/>
        <v/>
      </c>
      <c r="F36" s="23" t="str">
        <f t="shared" si="0"/>
        <v/>
      </c>
      <c r="G36" s="23" t="str">
        <f t="shared" si="1"/>
        <v/>
      </c>
      <c r="H36" s="23" t="str">
        <f t="shared" si="5"/>
        <v/>
      </c>
      <c r="I36" s="23" t="str">
        <f t="shared" si="6"/>
        <v/>
      </c>
      <c r="J36" s="42" t="str">
        <f t="shared" si="2"/>
        <v/>
      </c>
      <c r="K36" s="43"/>
      <c r="L36" s="24"/>
    </row>
    <row r="37" spans="1:12">
      <c r="A37" s="39" t="str">
        <f>IF(C1=2,"--",A36+1)</f>
        <v>--</v>
      </c>
      <c r="B37" s="33" t="str">
        <f t="shared" si="4"/>
        <v>--</v>
      </c>
      <c r="C37" s="22"/>
      <c r="D37" s="22"/>
      <c r="E37" s="23" t="str">
        <f t="shared" si="7"/>
        <v/>
      </c>
      <c r="F37" s="23" t="str">
        <f t="shared" si="0"/>
        <v/>
      </c>
      <c r="G37" s="23" t="str">
        <f t="shared" si="1"/>
        <v/>
      </c>
      <c r="H37" s="23" t="str">
        <f t="shared" si="5"/>
        <v/>
      </c>
      <c r="I37" s="23" t="str">
        <f t="shared" si="6"/>
        <v/>
      </c>
      <c r="J37" s="42" t="str">
        <f t="shared" si="2"/>
        <v/>
      </c>
      <c r="K37" s="43"/>
      <c r="L37" s="24"/>
    </row>
    <row r="38" spans="1:12" ht="14.25" thickBot="1">
      <c r="A38" s="40" t="str">
        <f>IF(OR(C1=2,C1=4,C1=6,C1=9,C1=11),"--",A37+1)</f>
        <v>--</v>
      </c>
      <c r="B38" s="34" t="str">
        <f t="shared" si="4"/>
        <v>--</v>
      </c>
      <c r="C38" s="25"/>
      <c r="D38" s="25"/>
      <c r="E38" s="26" t="str">
        <f t="shared" si="7"/>
        <v/>
      </c>
      <c r="F38" s="26" t="str">
        <f t="shared" si="0"/>
        <v/>
      </c>
      <c r="G38" s="26" t="str">
        <f t="shared" si="1"/>
        <v/>
      </c>
      <c r="H38" s="26" t="str">
        <f t="shared" si="5"/>
        <v/>
      </c>
      <c r="I38" s="26" t="str">
        <f t="shared" si="6"/>
        <v/>
      </c>
      <c r="J38" s="44" t="str">
        <f t="shared" si="2"/>
        <v/>
      </c>
      <c r="K38" s="45"/>
      <c r="L38" s="27"/>
    </row>
    <row r="39" spans="1:12" ht="20.25" customHeight="1" thickBot="1">
      <c r="A39" s="37"/>
      <c r="B39" s="31"/>
      <c r="C39" s="17"/>
      <c r="D39" s="17"/>
      <c r="E39" s="56" t="s">
        <v>5</v>
      </c>
      <c r="F39" s="57"/>
      <c r="G39" s="28">
        <f>SUM(G8:G38)</f>
        <v>0</v>
      </c>
      <c r="H39" s="28">
        <f>SUM(H8:H38)</f>
        <v>0</v>
      </c>
      <c r="I39" s="28">
        <f>SUM(I8:I38)</f>
        <v>0</v>
      </c>
      <c r="J39" s="54">
        <f>SUM(J8:J38)</f>
        <v>0</v>
      </c>
      <c r="K39" s="55"/>
      <c r="L39" s="9"/>
    </row>
    <row r="40" spans="1:12">
      <c r="G40" s="3"/>
    </row>
    <row r="41" spans="1:12">
      <c r="G41" s="3"/>
    </row>
    <row r="42" spans="1:12">
      <c r="G42" s="3"/>
    </row>
    <row r="43" spans="1:12">
      <c r="G43" s="3"/>
    </row>
  </sheetData>
  <mergeCells count="49">
    <mergeCell ref="C1:C2"/>
    <mergeCell ref="A1:B2"/>
    <mergeCell ref="B3:C3"/>
    <mergeCell ref="L6:L7"/>
    <mergeCell ref="C6:D6"/>
    <mergeCell ref="G6:I6"/>
    <mergeCell ref="J6:K7"/>
    <mergeCell ref="G1:H1"/>
    <mergeCell ref="G2:H2"/>
    <mergeCell ref="G3:H3"/>
    <mergeCell ref="A6:A7"/>
    <mergeCell ref="B6:B7"/>
    <mergeCell ref="E6:F6"/>
    <mergeCell ref="J10:K10"/>
    <mergeCell ref="J11:K11"/>
    <mergeCell ref="J12:K12"/>
    <mergeCell ref="G4:H4"/>
    <mergeCell ref="D3:E3"/>
    <mergeCell ref="J8:K8"/>
    <mergeCell ref="J9:K9"/>
    <mergeCell ref="J39:K39"/>
    <mergeCell ref="E39:F39"/>
    <mergeCell ref="J13:K13"/>
    <mergeCell ref="J14:K14"/>
    <mergeCell ref="J19:K19"/>
    <mergeCell ref="J20:K20"/>
    <mergeCell ref="J21:K21"/>
    <mergeCell ref="J22:K22"/>
    <mergeCell ref="J15:K15"/>
    <mergeCell ref="J16:K16"/>
    <mergeCell ref="J17:K17"/>
    <mergeCell ref="J18:K18"/>
    <mergeCell ref="J23:K23"/>
    <mergeCell ref="J30:K30"/>
    <mergeCell ref="J31:K31"/>
    <mergeCell ref="J24:K24"/>
    <mergeCell ref="J25:K25"/>
    <mergeCell ref="J26:K26"/>
    <mergeCell ref="J27:K27"/>
    <mergeCell ref="J36:K36"/>
    <mergeCell ref="J37:K37"/>
    <mergeCell ref="J38:K38"/>
    <mergeCell ref="A4:F4"/>
    <mergeCell ref="J32:K32"/>
    <mergeCell ref="J33:K33"/>
    <mergeCell ref="J34:K34"/>
    <mergeCell ref="J35:K35"/>
    <mergeCell ref="J28:K28"/>
    <mergeCell ref="J29:K29"/>
  </mergeCells>
  <phoneticPr fontId="1"/>
  <printOptions horizontalCentered="1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出勤簿</vt:lpstr>
      <vt:lpstr>出勤簿!Print_Area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2003-05-01T01:24:53Z</cp:lastPrinted>
  <dcterms:created xsi:type="dcterms:W3CDTF">2003-03-19T13:49:48Z</dcterms:created>
  <dcterms:modified xsi:type="dcterms:W3CDTF">2012-06-27T06:38:18Z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TC012335202052</vt:lpwstr>
  </property>
</Properties>
</file>