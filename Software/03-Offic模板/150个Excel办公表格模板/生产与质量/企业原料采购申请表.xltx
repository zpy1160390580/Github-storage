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500" yWindow="576" windowWidth="11280" windowHeight="7008"/>
  </bookViews>
  <sheets>
    <sheet name="企业原料采购申请表" sheetId="1" r:id="rId1"/>
  </sheets>
  <calcPr calcId="124519"/>
</workbook>
</file>

<file path=xl/calcChain.xml><?xml version="1.0" encoding="utf-8"?>
<calcChain xmlns="http://schemas.openxmlformats.org/spreadsheetml/2006/main">
  <c r="F20" i="1"/>
  <c r="H20"/>
  <c r="E5"/>
  <c r="E20" s="1"/>
  <c r="E6"/>
  <c r="E7"/>
  <c r="E8"/>
  <c r="E9"/>
  <c r="E10"/>
  <c r="E11"/>
  <c r="E12"/>
  <c r="E13"/>
  <c r="E14"/>
  <c r="E15"/>
  <c r="E16"/>
  <c r="E17"/>
  <c r="E18"/>
  <c r="E19"/>
  <c r="H2"/>
  <c r="F2"/>
  <c r="D2"/>
</calcChain>
</file>

<file path=xl/sharedStrings.xml><?xml version="1.0" encoding="utf-8"?>
<sst xmlns="http://schemas.openxmlformats.org/spreadsheetml/2006/main" count="74" uniqueCount="48">
  <si>
    <t>空调2</t>
  </si>
  <si>
    <t>空调3</t>
  </si>
  <si>
    <t>空调4</t>
  </si>
  <si>
    <t>空调5</t>
  </si>
  <si>
    <t>空调6</t>
  </si>
  <si>
    <t>空调7</t>
  </si>
  <si>
    <t>空调8</t>
  </si>
  <si>
    <t>空调9</t>
  </si>
  <si>
    <t>空调10</t>
  </si>
  <si>
    <t>空调11</t>
  </si>
  <si>
    <t>空调12</t>
  </si>
  <si>
    <t>空调13</t>
  </si>
  <si>
    <t>空调14</t>
  </si>
  <si>
    <t>空调15</t>
  </si>
  <si>
    <t>原 料 采 购 申 请 表</t>
    <phoneticPr fontId="2" type="noConversion"/>
  </si>
  <si>
    <t>申请部门</t>
    <phoneticPr fontId="2" type="noConversion"/>
  </si>
  <si>
    <t>申请日期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</si>
  <si>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</si>
  <si>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</si>
  <si>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</si>
  <si>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采购原因</t>
    <phoneticPr fontId="2" type="noConversion"/>
  </si>
  <si>
    <t>要求到货日期</t>
    <phoneticPr fontId="2" type="noConversion"/>
  </si>
  <si>
    <t>序号</t>
    <phoneticPr fontId="2" type="noConversion"/>
  </si>
  <si>
    <t>原料名称</t>
    <phoneticPr fontId="2" type="noConversion"/>
  </si>
  <si>
    <t>规格型号</t>
    <phoneticPr fontId="2" type="noConversion"/>
  </si>
  <si>
    <t>申购数量</t>
    <phoneticPr fontId="2" type="noConversion"/>
  </si>
  <si>
    <t>库存量</t>
    <phoneticPr fontId="2" type="noConversion"/>
  </si>
  <si>
    <t>单位</t>
    <phoneticPr fontId="2" type="noConversion"/>
  </si>
  <si>
    <t>标准用量</t>
    <phoneticPr fontId="2" type="noConversion"/>
  </si>
  <si>
    <t>供应商</t>
    <phoneticPr fontId="2" type="noConversion"/>
  </si>
  <si>
    <t>采购清单</t>
    <phoneticPr fontId="2" type="noConversion"/>
  </si>
  <si>
    <t xml:space="preserve">    合计</t>
    <phoneticPr fontId="2" type="noConversion"/>
  </si>
  <si>
    <t>经营计划部意见</t>
    <phoneticPr fontId="2" type="noConversion"/>
  </si>
  <si>
    <t>签字</t>
    <phoneticPr fontId="2" type="noConversion"/>
  </si>
  <si>
    <t>日期</t>
    <phoneticPr fontId="2" type="noConversion"/>
  </si>
  <si>
    <t>总经理审批意见</t>
    <phoneticPr fontId="2" type="noConversion"/>
  </si>
  <si>
    <t>签字</t>
    <phoneticPr fontId="2" type="noConversion"/>
  </si>
  <si>
    <t>日期</t>
    <phoneticPr fontId="2" type="noConversion"/>
  </si>
  <si>
    <t>销售部</t>
    <phoneticPr fontId="2" type="noConversion"/>
  </si>
  <si>
    <t>库存不足</t>
    <phoneticPr fontId="2" type="noConversion"/>
  </si>
  <si>
    <t>空调1</t>
    <phoneticPr fontId="2" type="noConversion"/>
  </si>
  <si>
    <t>台</t>
    <phoneticPr fontId="2" type="noConversion"/>
  </si>
  <si>
    <t>三菱</t>
  </si>
  <si>
    <t>海尔</t>
  </si>
  <si>
    <t>日立</t>
  </si>
  <si>
    <t>美的</t>
  </si>
  <si>
    <t>奥柯玛</t>
  </si>
  <si>
    <t>奥克斯</t>
  </si>
</sst>
</file>

<file path=xl/styles.xml><?xml version="1.0" encoding="utf-8"?>
<styleSheet xmlns="http://schemas.openxmlformats.org/spreadsheetml/2006/main">
  <fonts count="4">
    <font>
      <sz val="12"/>
      <name val="宋体"/>
      <charset val="134"/>
    </font>
    <font>
      <sz val="20"/>
      <name val="隶书"/>
      <family val="3"/>
      <charset val="134"/>
    </font>
    <font>
      <sz val="9"/>
      <name val="宋体"/>
      <charset val="134"/>
    </font>
    <font>
      <sz val="12"/>
      <name val="隶书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7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0" fontId="3" fillId="2" borderId="5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textRotation="255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I22"/>
  <sheetViews>
    <sheetView showGridLines="0" tabSelected="1" workbookViewId="0">
      <selection activeCell="F18" sqref="F18"/>
    </sheetView>
  </sheetViews>
  <sheetFormatPr defaultRowHeight="15.6"/>
  <cols>
    <col min="1" max="2" width="8.796875" style="1"/>
    <col min="3" max="3" width="13.8984375" style="1" bestFit="1" customWidth="1"/>
    <col min="4" max="16384" width="8.796875" style="1"/>
  </cols>
  <sheetData>
    <row r="1" spans="1:9" ht="26.4" thickTop="1">
      <c r="A1" s="10" t="s">
        <v>14</v>
      </c>
      <c r="B1" s="11"/>
      <c r="C1" s="11"/>
      <c r="D1" s="11"/>
      <c r="E1" s="11"/>
      <c r="F1" s="11"/>
      <c r="G1" s="11"/>
      <c r="H1" s="11"/>
      <c r="I1" s="12"/>
    </row>
    <row r="2" spans="1:9" ht="12.75" customHeight="1">
      <c r="A2" s="2" t="s">
        <v>15</v>
      </c>
      <c r="B2" s="3" t="s">
        <v>38</v>
      </c>
      <c r="C2" s="3" t="s">
        <v>16</v>
      </c>
      <c r="D2" s="3">
        <f ca="1">YEAR(TODAY())</f>
        <v>2008</v>
      </c>
      <c r="E2" s="3" t="s">
        <v>17</v>
      </c>
      <c r="F2" s="3">
        <f ca="1">MONTH(TODAY())</f>
        <v>1</v>
      </c>
      <c r="G2" s="4" t="s">
        <v>18</v>
      </c>
      <c r="H2" s="5">
        <f ca="1">DAY(TODAY())</f>
        <v>19</v>
      </c>
      <c r="I2" s="6" t="s">
        <v>19</v>
      </c>
    </row>
    <row r="3" spans="1:9" ht="12.75" customHeight="1">
      <c r="A3" s="2" t="s">
        <v>20</v>
      </c>
      <c r="B3" s="3" t="s">
        <v>39</v>
      </c>
      <c r="C3" s="3" t="s">
        <v>21</v>
      </c>
      <c r="D3" s="3">
        <v>2005</v>
      </c>
      <c r="E3" s="3" t="s">
        <v>17</v>
      </c>
      <c r="F3" s="3">
        <v>11</v>
      </c>
      <c r="G3" s="4" t="s">
        <v>18</v>
      </c>
      <c r="H3" s="5">
        <v>30</v>
      </c>
      <c r="I3" s="6" t="s">
        <v>19</v>
      </c>
    </row>
    <row r="4" spans="1:9" ht="12.75" customHeight="1">
      <c r="A4" s="2"/>
      <c r="B4" s="3" t="s">
        <v>22</v>
      </c>
      <c r="C4" s="3" t="s">
        <v>23</v>
      </c>
      <c r="D4" s="3" t="s">
        <v>24</v>
      </c>
      <c r="E4" s="3" t="s">
        <v>25</v>
      </c>
      <c r="F4" s="3" t="s">
        <v>26</v>
      </c>
      <c r="G4" s="3" t="s">
        <v>27</v>
      </c>
      <c r="H4" s="3" t="s">
        <v>28</v>
      </c>
      <c r="I4" s="6" t="s">
        <v>29</v>
      </c>
    </row>
    <row r="5" spans="1:9" ht="12.75" customHeight="1">
      <c r="A5" s="9" t="s">
        <v>30</v>
      </c>
      <c r="B5" s="3">
        <v>1</v>
      </c>
      <c r="C5" s="3" t="s">
        <v>40</v>
      </c>
      <c r="D5" s="7"/>
      <c r="E5" s="3">
        <f>INT(H5*1.2)</f>
        <v>19</v>
      </c>
      <c r="F5" s="3">
        <v>3</v>
      </c>
      <c r="G5" s="3" t="s">
        <v>41</v>
      </c>
      <c r="H5" s="3">
        <v>16</v>
      </c>
      <c r="I5" s="6" t="s">
        <v>42</v>
      </c>
    </row>
    <row r="6" spans="1:9" ht="12.75" customHeight="1">
      <c r="A6" s="9"/>
      <c r="B6" s="3">
        <v>2</v>
      </c>
      <c r="C6" s="3" t="s">
        <v>0</v>
      </c>
      <c r="D6" s="7"/>
      <c r="E6" s="3">
        <f t="shared" ref="E6:E19" si="0">INT(H6*1.2)</f>
        <v>30</v>
      </c>
      <c r="F6" s="3">
        <v>2</v>
      </c>
      <c r="G6" s="3" t="s">
        <v>41</v>
      </c>
      <c r="H6" s="3">
        <v>25</v>
      </c>
      <c r="I6" s="6" t="s">
        <v>43</v>
      </c>
    </row>
    <row r="7" spans="1:9" ht="12.75" customHeight="1">
      <c r="A7" s="9"/>
      <c r="B7" s="3">
        <v>3</v>
      </c>
      <c r="C7" s="3" t="s">
        <v>1</v>
      </c>
      <c r="D7" s="7"/>
      <c r="E7" s="3">
        <f t="shared" si="0"/>
        <v>39</v>
      </c>
      <c r="F7" s="3">
        <v>4</v>
      </c>
      <c r="G7" s="3" t="s">
        <v>41</v>
      </c>
      <c r="H7" s="3">
        <v>33</v>
      </c>
      <c r="I7" s="6" t="s">
        <v>44</v>
      </c>
    </row>
    <row r="8" spans="1:9" ht="12.75" customHeight="1">
      <c r="A8" s="9"/>
      <c r="B8" s="3">
        <v>4</v>
      </c>
      <c r="C8" s="3" t="s">
        <v>2</v>
      </c>
      <c r="D8" s="7"/>
      <c r="E8" s="3">
        <f t="shared" si="0"/>
        <v>60</v>
      </c>
      <c r="F8" s="3">
        <v>3</v>
      </c>
      <c r="G8" s="3" t="s">
        <v>41</v>
      </c>
      <c r="H8" s="3">
        <v>50</v>
      </c>
      <c r="I8" s="6" t="s">
        <v>45</v>
      </c>
    </row>
    <row r="9" spans="1:9" ht="12.75" customHeight="1">
      <c r="A9" s="9"/>
      <c r="B9" s="3">
        <v>5</v>
      </c>
      <c r="C9" s="3" t="s">
        <v>3</v>
      </c>
      <c r="D9" s="7"/>
      <c r="E9" s="3">
        <f t="shared" si="0"/>
        <v>66</v>
      </c>
      <c r="F9" s="3">
        <v>7</v>
      </c>
      <c r="G9" s="3" t="s">
        <v>41</v>
      </c>
      <c r="H9" s="3">
        <v>55</v>
      </c>
      <c r="I9" s="6" t="s">
        <v>46</v>
      </c>
    </row>
    <row r="10" spans="1:9" ht="12.75" customHeight="1">
      <c r="A10" s="9"/>
      <c r="B10" s="3">
        <v>6</v>
      </c>
      <c r="C10" s="3" t="s">
        <v>4</v>
      </c>
      <c r="D10" s="7"/>
      <c r="E10" s="3">
        <f t="shared" si="0"/>
        <v>30</v>
      </c>
      <c r="F10" s="3">
        <v>5</v>
      </c>
      <c r="G10" s="3" t="s">
        <v>41</v>
      </c>
      <c r="H10" s="3">
        <v>25</v>
      </c>
      <c r="I10" s="6" t="s">
        <v>42</v>
      </c>
    </row>
    <row r="11" spans="1:9" ht="12.75" customHeight="1">
      <c r="A11" s="9"/>
      <c r="B11" s="3">
        <v>7</v>
      </c>
      <c r="C11" s="3" t="s">
        <v>5</v>
      </c>
      <c r="D11" s="7"/>
      <c r="E11" s="3">
        <f t="shared" si="0"/>
        <v>39</v>
      </c>
      <c r="F11" s="3">
        <v>2</v>
      </c>
      <c r="G11" s="3" t="s">
        <v>41</v>
      </c>
      <c r="H11" s="3">
        <v>33</v>
      </c>
      <c r="I11" s="6" t="s">
        <v>45</v>
      </c>
    </row>
    <row r="12" spans="1:9" ht="12.75" customHeight="1">
      <c r="A12" s="9"/>
      <c r="B12" s="3">
        <v>8</v>
      </c>
      <c r="C12" s="3" t="s">
        <v>6</v>
      </c>
      <c r="D12" s="7"/>
      <c r="E12" s="3">
        <f t="shared" si="0"/>
        <v>30</v>
      </c>
      <c r="F12" s="3">
        <v>6</v>
      </c>
      <c r="G12" s="3" t="s">
        <v>41</v>
      </c>
      <c r="H12" s="3">
        <v>25</v>
      </c>
      <c r="I12" s="6" t="s">
        <v>46</v>
      </c>
    </row>
    <row r="13" spans="1:9" ht="12.75" customHeight="1">
      <c r="A13" s="9"/>
      <c r="B13" s="3">
        <v>9</v>
      </c>
      <c r="C13" s="3" t="s">
        <v>7</v>
      </c>
      <c r="D13" s="7"/>
      <c r="E13" s="3">
        <f t="shared" si="0"/>
        <v>30</v>
      </c>
      <c r="F13" s="3">
        <v>8</v>
      </c>
      <c r="G13" s="3" t="s">
        <v>41</v>
      </c>
      <c r="H13" s="3">
        <v>25</v>
      </c>
      <c r="I13" s="6" t="s">
        <v>42</v>
      </c>
    </row>
    <row r="14" spans="1:9" ht="12.75" customHeight="1">
      <c r="A14" s="9"/>
      <c r="B14" s="3">
        <v>10</v>
      </c>
      <c r="C14" s="3" t="s">
        <v>8</v>
      </c>
      <c r="D14" s="7"/>
      <c r="E14" s="3">
        <f t="shared" si="0"/>
        <v>49</v>
      </c>
      <c r="F14" s="3">
        <v>2</v>
      </c>
      <c r="G14" s="3" t="s">
        <v>41</v>
      </c>
      <c r="H14" s="3">
        <v>41</v>
      </c>
      <c r="I14" s="6" t="s">
        <v>47</v>
      </c>
    </row>
    <row r="15" spans="1:9" ht="12.75" customHeight="1">
      <c r="A15" s="9"/>
      <c r="B15" s="3">
        <v>11</v>
      </c>
      <c r="C15" s="3" t="s">
        <v>9</v>
      </c>
      <c r="D15" s="7"/>
      <c r="E15" s="3">
        <f t="shared" si="0"/>
        <v>19</v>
      </c>
      <c r="F15" s="3">
        <v>10</v>
      </c>
      <c r="G15" s="3" t="s">
        <v>41</v>
      </c>
      <c r="H15" s="3">
        <v>16</v>
      </c>
      <c r="I15" s="6" t="s">
        <v>43</v>
      </c>
    </row>
    <row r="16" spans="1:9" ht="12.75" customHeight="1">
      <c r="A16" s="9"/>
      <c r="B16" s="3">
        <v>12</v>
      </c>
      <c r="C16" s="3" t="s">
        <v>10</v>
      </c>
      <c r="D16" s="7"/>
      <c r="E16" s="3">
        <f t="shared" si="0"/>
        <v>39</v>
      </c>
      <c r="F16" s="3">
        <v>5</v>
      </c>
      <c r="G16" s="3" t="s">
        <v>41</v>
      </c>
      <c r="H16" s="3">
        <v>33</v>
      </c>
      <c r="I16" s="6" t="s">
        <v>45</v>
      </c>
    </row>
    <row r="17" spans="1:9" ht="12.75" customHeight="1">
      <c r="A17" s="9"/>
      <c r="B17" s="3">
        <v>13</v>
      </c>
      <c r="C17" s="3" t="s">
        <v>11</v>
      </c>
      <c r="D17" s="7"/>
      <c r="E17" s="3">
        <f t="shared" si="0"/>
        <v>19</v>
      </c>
      <c r="F17" s="3">
        <v>9</v>
      </c>
      <c r="G17" s="3" t="s">
        <v>41</v>
      </c>
      <c r="H17" s="3">
        <v>16</v>
      </c>
      <c r="I17" s="6" t="s">
        <v>46</v>
      </c>
    </row>
    <row r="18" spans="1:9" ht="12.75" customHeight="1">
      <c r="A18" s="9"/>
      <c r="B18" s="3">
        <v>14</v>
      </c>
      <c r="C18" s="3" t="s">
        <v>12</v>
      </c>
      <c r="D18" s="7"/>
      <c r="E18" s="3">
        <f t="shared" si="0"/>
        <v>60</v>
      </c>
      <c r="F18" s="3">
        <v>4</v>
      </c>
      <c r="G18" s="3" t="s">
        <v>41</v>
      </c>
      <c r="H18" s="3">
        <v>50</v>
      </c>
      <c r="I18" s="6" t="s">
        <v>44</v>
      </c>
    </row>
    <row r="19" spans="1:9" ht="12.75" customHeight="1">
      <c r="A19" s="9"/>
      <c r="B19" s="3">
        <v>15</v>
      </c>
      <c r="C19" s="3" t="s">
        <v>13</v>
      </c>
      <c r="D19" s="7"/>
      <c r="E19" s="3">
        <f t="shared" si="0"/>
        <v>30</v>
      </c>
      <c r="F19" s="3">
        <v>7</v>
      </c>
      <c r="G19" s="3" t="s">
        <v>41</v>
      </c>
      <c r="H19" s="3">
        <v>25</v>
      </c>
      <c r="I19" s="6" t="s">
        <v>43</v>
      </c>
    </row>
    <row r="20" spans="1:9" ht="12.75" customHeight="1">
      <c r="A20" s="13" t="s">
        <v>31</v>
      </c>
      <c r="B20" s="14"/>
      <c r="C20" s="14"/>
      <c r="D20" s="15"/>
      <c r="E20" s="3">
        <f>SUM(E5:E19)</f>
        <v>559</v>
      </c>
      <c r="F20" s="3">
        <f>SUM(F5:F19)</f>
        <v>77</v>
      </c>
      <c r="G20" s="3"/>
      <c r="H20" s="3">
        <f>SUM(H5:H19)</f>
        <v>468</v>
      </c>
      <c r="I20" s="6"/>
    </row>
    <row r="21" spans="1:9" ht="12.75" customHeight="1">
      <c r="A21" s="18" t="s">
        <v>32</v>
      </c>
      <c r="B21" s="19"/>
      <c r="C21" s="19"/>
      <c r="D21" s="19"/>
      <c r="E21" s="3" t="s">
        <v>33</v>
      </c>
      <c r="F21" s="3"/>
      <c r="G21" s="3" t="s">
        <v>34</v>
      </c>
      <c r="H21" s="16"/>
      <c r="I21" s="17"/>
    </row>
    <row r="22" spans="1:9" ht="12.75" customHeight="1" thickBot="1">
      <c r="A22" s="20" t="s">
        <v>35</v>
      </c>
      <c r="B22" s="21"/>
      <c r="C22" s="21"/>
      <c r="D22" s="21"/>
      <c r="E22" s="8" t="s">
        <v>36</v>
      </c>
      <c r="F22" s="8"/>
      <c r="G22" s="8" t="s">
        <v>37</v>
      </c>
      <c r="H22" s="22"/>
      <c r="I22" s="23"/>
    </row>
  </sheetData>
  <mergeCells count="9">
    <mergeCell ref="A22:B22"/>
    <mergeCell ref="C21:D21"/>
    <mergeCell ref="C22:D22"/>
    <mergeCell ref="H22:I22"/>
    <mergeCell ref="A5:A19"/>
    <mergeCell ref="A1:I1"/>
    <mergeCell ref="A20:D20"/>
    <mergeCell ref="H21:I21"/>
    <mergeCell ref="A21:B21"/>
  </mergeCells>
  <phoneticPr fontId="2" type="noConversion"/>
  <dataValidations count="1">
    <dataValidation type="list" allowBlank="1" showInputMessage="1" showErrorMessage="1" errorTitle="供应商名称输入错误！" error="请从下拉列表中选择！" promptTitle="请输入供应商名称！" prompt="可以从下拉列表中选择！" sqref="I5:I20">
      <formula1>"三菱,海尔,日立,美的,奥柯玛,奥克斯"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企业原料采购申请表</vt:lpstr>
    </vt:vector>
  </TitlesOfParts>
  <Company>shenlong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cyd</dc:creator>
  <cp:lastModifiedBy>syq</cp:lastModifiedBy>
  <dcterms:created xsi:type="dcterms:W3CDTF">2005-10-29T02:43:12Z</dcterms:created>
  <dcterms:modified xsi:type="dcterms:W3CDTF">2008-01-19T02:43:19Z</dcterms:modified>
</cp:coreProperties>
</file>