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660" yWindow="-72" windowWidth="12384" windowHeight="5076"/>
  </bookViews>
  <sheets>
    <sheet name="企业生产方案选择表" sheetId="1" r:id="rId1"/>
  </sheets>
  <definedNames>
    <definedName name="solver_adj" localSheetId="0" hidden="1">企业生产方案选择表!$E$3:$E$5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企业生产方案选择表!$E$3:$E$5</definedName>
    <definedName name="solver_lhs2" localSheetId="0" hidden="1">企业生产方案选择表!$E$3:$E$5</definedName>
    <definedName name="solver_lhs3" localSheetId="0" hidden="1">企业生产方案选择表!$F$9</definedName>
    <definedName name="solver_lhs4" localSheetId="0" hidden="1">企业生产方案选择表!$E$3</definedName>
    <definedName name="solver_lhs5" localSheetId="0" hidden="1">企业生产方案选择表!$E$4</definedName>
    <definedName name="solver_lhs6" localSheetId="0" hidden="1">企业生产方案选择表!$F$8</definedName>
    <definedName name="solver_lhs7" localSheetId="0" hidden="1">企业生产方案选择表!$E$5</definedName>
    <definedName name="solver_lin" localSheetId="0" hidden="1">2</definedName>
    <definedName name="solver_neg" localSheetId="0" hidden="1">2</definedName>
    <definedName name="solver_num" localSheetId="0" hidden="1">7</definedName>
    <definedName name="solver_nwt" localSheetId="0" hidden="1">1</definedName>
    <definedName name="solver_opt" localSheetId="0" hidden="1">企业生产方案选择表!$F$10</definedName>
    <definedName name="solver_pre" localSheetId="0" hidden="1">0.000001</definedName>
    <definedName name="solver_rel1" localSheetId="0" hidden="1">3</definedName>
    <definedName name="solver_rel2" localSheetId="0" hidden="1">4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hs1" localSheetId="0" hidden="1">0</definedName>
    <definedName name="solver_rhs2" localSheetId="0" hidden="1">整数</definedName>
    <definedName name="solver_rhs3" localSheetId="0" hidden="1">企业生产方案选择表!$C$9</definedName>
    <definedName name="solver_rhs4" localSheetId="0" hidden="1">企业生产方案选择表!$C$10</definedName>
    <definedName name="solver_rhs5" localSheetId="0" hidden="1">企业生产方案选择表!$C$11</definedName>
    <definedName name="solver_rhs6" localSheetId="0" hidden="1">企业生产方案选择表!$C$8</definedName>
    <definedName name="solver_rhs7" localSheetId="0" hidden="1">企业生产方案选择表!$C$12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4519"/>
</workbook>
</file>

<file path=xl/calcChain.xml><?xml version="1.0" encoding="utf-8"?>
<calcChain xmlns="http://schemas.openxmlformats.org/spreadsheetml/2006/main">
  <c r="F3" i="1"/>
  <c r="F4"/>
  <c r="F5"/>
  <c r="F10"/>
  <c r="F9"/>
  <c r="F8"/>
</calcChain>
</file>

<file path=xl/sharedStrings.xml><?xml version="1.0" encoding="utf-8"?>
<sst xmlns="http://schemas.openxmlformats.org/spreadsheetml/2006/main" count="20" uniqueCount="20">
  <si>
    <t>款式</t>
    <phoneticPr fontId="1" type="noConversion"/>
  </si>
  <si>
    <t>成本（元/件）</t>
    <phoneticPr fontId="1" type="noConversion"/>
  </si>
  <si>
    <t>生产时间（分钟/件）</t>
    <phoneticPr fontId="1" type="noConversion"/>
  </si>
  <si>
    <t>利润（元/件）</t>
    <phoneticPr fontId="1" type="noConversion"/>
  </si>
  <si>
    <t>产量（件）</t>
    <phoneticPr fontId="1" type="noConversion"/>
  </si>
  <si>
    <t>销售利润小计（元）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</si>
  <si>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</si>
  <si>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</si>
  <si>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</si>
  <si>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约束条件</t>
    <phoneticPr fontId="1" type="noConversion"/>
  </si>
  <si>
    <t>实际生产状况</t>
    <phoneticPr fontId="1" type="noConversion"/>
  </si>
  <si>
    <t>生产成本约束</t>
    <phoneticPr fontId="1" type="noConversion"/>
  </si>
  <si>
    <t>实际生产成本</t>
    <phoneticPr fontId="1" type="noConversion"/>
  </si>
  <si>
    <t>生产时间约束</t>
    <phoneticPr fontId="1" type="noConversion"/>
  </si>
  <si>
    <t>实际生产时间（时)</t>
    <phoneticPr fontId="1" type="noConversion"/>
  </si>
  <si>
    <t>款式A产量约束</t>
    <phoneticPr fontId="1" type="noConversion"/>
  </si>
  <si>
    <t>每天销售利润小计</t>
    <phoneticPr fontId="1" type="noConversion"/>
  </si>
  <si>
    <t>款式B产量约束</t>
    <phoneticPr fontId="1" type="noConversion"/>
  </si>
  <si>
    <t>款式C产量约束</t>
    <phoneticPr fontId="1" type="noConversion"/>
  </si>
  <si>
    <t>利润最大化生产方案选择表</t>
    <phoneticPr fontId="1" type="noConversion"/>
  </si>
</sst>
</file>

<file path=xl/styles.xml><?xml version="1.0" encoding="utf-8"?>
<styleSheet xmlns="http://schemas.openxmlformats.org/spreadsheetml/2006/main">
  <numFmts count="1">
    <numFmt numFmtId="5" formatCode="&quot;￥&quot;#,##0;&quot;￥&quot;\-#,##0"/>
  </numFmts>
  <fonts count="5">
    <font>
      <sz val="12"/>
      <name val="宋体"/>
      <charset val="134"/>
    </font>
    <font>
      <sz val="9"/>
      <name val="宋体"/>
      <charset val="134"/>
    </font>
    <font>
      <sz val="13"/>
      <name val="隶书"/>
      <family val="3"/>
      <charset val="134"/>
    </font>
    <font>
      <sz val="12"/>
      <name val="隶书"/>
      <family val="3"/>
      <charset val="134"/>
    </font>
    <font>
      <b/>
      <sz val="16"/>
      <color theme="8" tint="-0.249977111117893"/>
      <name val="隶书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5" fontId="2" fillId="2" borderId="5" xfId="0" applyNumberFormat="1" applyFont="1" applyFill="1" applyBorder="1" applyAlignment="1">
      <alignment horizontal="center" vertical="center"/>
    </xf>
    <xf numFmtId="5" fontId="2" fillId="2" borderId="6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5" fontId="2" fillId="2" borderId="11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3"/>
  <sheetViews>
    <sheetView showGridLines="0" tabSelected="1" workbookViewId="0">
      <selection activeCell="E7" sqref="E7:F7"/>
    </sheetView>
  </sheetViews>
  <sheetFormatPr defaultRowHeight="15.6"/>
  <cols>
    <col min="1" max="1" width="5.59765625" style="1" customWidth="1"/>
    <col min="2" max="2" width="15.8984375" style="1" customWidth="1"/>
    <col min="3" max="3" width="21.19921875" style="1" customWidth="1"/>
    <col min="4" max="4" width="14.3984375" style="1" customWidth="1"/>
    <col min="5" max="5" width="19.5" style="1" customWidth="1"/>
    <col min="6" max="6" width="20.5" style="1" customWidth="1"/>
    <col min="7" max="16384" width="8.796875" style="1"/>
  </cols>
  <sheetData>
    <row r="1" spans="1:6" ht="21" thickTop="1">
      <c r="A1" s="13" t="s">
        <v>19</v>
      </c>
      <c r="B1" s="14"/>
      <c r="C1" s="14"/>
      <c r="D1" s="14"/>
      <c r="E1" s="14"/>
      <c r="F1" s="15"/>
    </row>
    <row r="2" spans="1:6" ht="16.8">
      <c r="A2" s="2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5</v>
      </c>
    </row>
    <row r="3" spans="1:6" ht="16.8">
      <c r="A3" s="2" t="s">
        <v>6</v>
      </c>
      <c r="B3" s="5">
        <v>40</v>
      </c>
      <c r="C3" s="3">
        <v>3</v>
      </c>
      <c r="D3" s="5">
        <v>25</v>
      </c>
      <c r="E3" s="3">
        <v>50</v>
      </c>
      <c r="F3" s="6">
        <f>D3*E3</f>
        <v>1250</v>
      </c>
    </row>
    <row r="4" spans="1:6" ht="16.8">
      <c r="A4" s="2" t="s">
        <v>7</v>
      </c>
      <c r="B4" s="5">
        <v>70</v>
      </c>
      <c r="C4" s="3">
        <v>5</v>
      </c>
      <c r="D4" s="5">
        <v>50</v>
      </c>
      <c r="E4" s="3">
        <v>32</v>
      </c>
      <c r="F4" s="6">
        <f>D4*E4</f>
        <v>1600</v>
      </c>
    </row>
    <row r="5" spans="1:6" ht="16.8">
      <c r="A5" s="2" t="s">
        <v>8</v>
      </c>
      <c r="B5" s="5">
        <v>100</v>
      </c>
      <c r="C5" s="3">
        <v>7</v>
      </c>
      <c r="D5" s="5">
        <v>75</v>
      </c>
      <c r="E5" s="3">
        <v>67</v>
      </c>
      <c r="F5" s="6">
        <f>D5*E5</f>
        <v>5025</v>
      </c>
    </row>
    <row r="6" spans="1:6" ht="16.2" thickBot="1">
      <c r="A6" s="12"/>
      <c r="B6" s="12"/>
      <c r="C6" s="12"/>
      <c r="D6" s="12"/>
      <c r="E6" s="12"/>
      <c r="F6" s="12"/>
    </row>
    <row r="7" spans="1:6" ht="21" thickTop="1">
      <c r="A7" s="7"/>
      <c r="B7" s="16" t="s">
        <v>9</v>
      </c>
      <c r="C7" s="17"/>
      <c r="D7" s="7"/>
      <c r="E7" s="16" t="s">
        <v>10</v>
      </c>
      <c r="F7" s="17"/>
    </row>
    <row r="8" spans="1:6" ht="16.8">
      <c r="A8" s="7"/>
      <c r="B8" s="2" t="s">
        <v>11</v>
      </c>
      <c r="C8" s="6">
        <v>20000</v>
      </c>
      <c r="D8" s="7"/>
      <c r="E8" s="2" t="s">
        <v>12</v>
      </c>
      <c r="F8" s="6">
        <f>B3*E3+B4*E4+B5*E5</f>
        <v>10940</v>
      </c>
    </row>
    <row r="9" spans="1:6" ht="16.8">
      <c r="A9" s="7"/>
      <c r="B9" s="2" t="s">
        <v>13</v>
      </c>
      <c r="C9" s="4">
        <v>13</v>
      </c>
      <c r="D9" s="7"/>
      <c r="E9" s="2" t="s">
        <v>14</v>
      </c>
      <c r="F9" s="4">
        <f>C3/60*E3+C4/60*E4+C5/60*E5</f>
        <v>12.983333333333333</v>
      </c>
    </row>
    <row r="10" spans="1:6" ht="17.399999999999999" thickBot="1">
      <c r="A10" s="7"/>
      <c r="B10" s="2" t="s">
        <v>15</v>
      </c>
      <c r="C10" s="4">
        <v>50</v>
      </c>
      <c r="D10" s="7"/>
      <c r="E10" s="8" t="s">
        <v>16</v>
      </c>
      <c r="F10" s="9">
        <f>SUM(F3:F5)</f>
        <v>7875</v>
      </c>
    </row>
    <row r="11" spans="1:6" ht="17.399999999999999" thickTop="1">
      <c r="A11" s="7"/>
      <c r="B11" s="2" t="s">
        <v>17</v>
      </c>
      <c r="C11" s="4">
        <v>30</v>
      </c>
      <c r="D11" s="10"/>
      <c r="E11" s="10"/>
      <c r="F11" s="10"/>
    </row>
    <row r="12" spans="1:6" ht="17.399999999999999" thickBot="1">
      <c r="A12" s="7"/>
      <c r="B12" s="8" t="s">
        <v>18</v>
      </c>
      <c r="C12" s="11">
        <v>60</v>
      </c>
      <c r="D12" s="10"/>
      <c r="E12" s="10"/>
      <c r="F12" s="10"/>
    </row>
    <row r="13" spans="1:6" ht="16.2" thickTop="1"/>
  </sheetData>
  <mergeCells count="4">
    <mergeCell ref="B7:C7"/>
    <mergeCell ref="E7:F7"/>
    <mergeCell ref="A1:F1"/>
    <mergeCell ref="A6:F6"/>
  </mergeCells>
  <phoneticPr fontId="1" type="noConversion"/>
  <pageMargins left="0.75" right="0.75" top="1" bottom="1" header="0.5" footer="0.5"/>
  <pageSetup paperSize="8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企业生产方案选择表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2005-10-25T10:05:12Z</dcterms:created>
  <dcterms:modified xsi:type="dcterms:W3CDTF">2008-01-19T02:41:47Z</dcterms:modified>
</cp:coreProperties>
</file>