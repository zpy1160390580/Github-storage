
<file path=[Content_Types].xml><?xml version="1.0" encoding="utf-8"?>
<Types xmlns="http://schemas.openxmlformats.org/package/2006/content-types">
  <Override PartName="/xl/theme/theme1.xml" ContentType="application/vnd.openxmlformats-officedocument.theme+xml"/>
  <Override PartName="/xl/styles.xml" ContentType="application/vnd.openxmlformats-officedocument.spreadsheetml.styles+xml"/>
  <Default Extension="rels" ContentType="application/vnd.openxmlformats-package.relationships+xml"/>
  <Default Extension="xml" ContentType="application/xml"/>
  <Override PartName="/xl/workbook.xml" ContentType="application/vnd.openxmlformats-officedocument.spreadsheetml.template.main+xml"/>
  <Override PartName="/docProps/app.xml" ContentType="application/vnd.openxmlformats-officedocument.extended-properties+xml"/>
  <Override PartName="/xl/worksheets/sheet2.xml" ContentType="application/vnd.openxmlformats-officedocument.spreadsheetml.worksheet+xml"/>
  <Override PartName="/xl/worksheets/sheet1.xml" ContentType="application/vnd.openxmlformats-officedocument.spreadsheetml.worksheet+xml"/>
  <Override PartName="/xl/calcChain.xml" ContentType="application/vnd.openxmlformats-officedocument.spreadsheetml.calcChain+xml"/>
  <Override PartName="/xl/sharedStrings.xml" ContentType="application/vnd.openxmlformats-officedocument.spreadsheetml.sharedStrings+xml"/>
  <Override PartName="/docProps/core.xml" ContentType="application/vnd.openxmlformats-package.core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4" lowestEdited="4" rupBuild="4505"/>
  <workbookPr defaultThemeVersion="124226"/>
  <bookViews>
    <workbookView xWindow="96" yWindow="-168" windowWidth="12384" windowHeight="8232" activeTab="1"/>
  </bookViews>
  <sheets>
    <sheet name="企业原料采购申请表" sheetId="1" r:id="rId1"/>
    <sheet name="企业原料采购登记表" sheetId="2" r:id="rId2"/>
  </sheets>
  <calcPr calcId="124519"/>
</workbook>
</file>

<file path=xl/calcChain.xml><?xml version="1.0" encoding="utf-8"?>
<calcChain xmlns="http://schemas.openxmlformats.org/spreadsheetml/2006/main">
  <c r="M3" i="2"/>
  <c r="M4"/>
  <c r="M5"/>
  <c r="M6"/>
  <c r="M7"/>
  <c r="M8"/>
  <c r="M9"/>
  <c r="M10"/>
  <c r="M11"/>
  <c r="M12"/>
  <c r="M13"/>
  <c r="M14"/>
  <c r="M15"/>
  <c r="M16"/>
  <c r="M17"/>
  <c r="M18"/>
  <c r="M19"/>
  <c r="M20"/>
  <c r="M21"/>
  <c r="M22"/>
  <c r="M24"/>
  <c r="M23"/>
  <c r="C3"/>
  <c r="F3"/>
  <c r="C7"/>
  <c r="F7"/>
  <c r="C11"/>
  <c r="F11"/>
  <c r="C14"/>
  <c r="F14"/>
  <c r="C18"/>
  <c r="F18"/>
  <c r="C4"/>
  <c r="F4"/>
  <c r="C15"/>
  <c r="F15"/>
  <c r="C19"/>
  <c r="F19"/>
  <c r="C5"/>
  <c r="F5"/>
  <c r="C22"/>
  <c r="F22"/>
  <c r="C8"/>
  <c r="F8"/>
  <c r="C16"/>
  <c r="F16"/>
  <c r="C20"/>
  <c r="F20"/>
  <c r="C12"/>
  <c r="F12"/>
  <c r="C9"/>
  <c r="F9"/>
  <c r="D3"/>
  <c r="D7"/>
  <c r="D11"/>
  <c r="D14"/>
  <c r="D18"/>
  <c r="D4"/>
  <c r="D15"/>
  <c r="D19"/>
  <c r="D5"/>
  <c r="D22"/>
  <c r="D8"/>
  <c r="D16"/>
  <c r="D20"/>
  <c r="D12"/>
  <c r="D9"/>
  <c r="B3"/>
  <c r="B7"/>
  <c r="B11"/>
  <c r="B14"/>
  <c r="B18"/>
  <c r="B4"/>
  <c r="B15"/>
  <c r="B19"/>
  <c r="B5"/>
  <c r="B22"/>
  <c r="B8"/>
  <c r="B16"/>
  <c r="B20"/>
  <c r="B12"/>
  <c r="B9"/>
</calcChain>
</file>

<file path=xl/sharedStrings.xml><?xml version="1.0" encoding="utf-8"?>
<sst xmlns="http://schemas.openxmlformats.org/spreadsheetml/2006/main" count="125" uniqueCount="80">
  <si>
    <t>空调2</t>
  </si>
  <si>
    <t>空调3</t>
  </si>
  <si>
    <t>空调4</t>
  </si>
  <si>
    <t>空调5</t>
  </si>
  <si>
    <t>空调6</t>
  </si>
  <si>
    <t>空调7</t>
  </si>
  <si>
    <t>空调8</t>
  </si>
  <si>
    <t>空调9</t>
  </si>
  <si>
    <t>空调10</t>
  </si>
  <si>
    <t>空调11</t>
  </si>
  <si>
    <t>空调12</t>
  </si>
  <si>
    <t>空调13</t>
  </si>
  <si>
    <t>空调14</t>
  </si>
  <si>
    <t>空调15</t>
  </si>
  <si>
    <t>原 料 采 购 申 请 表</t>
    <phoneticPr fontId="2" type="noConversion"/>
  </si>
  <si>
    <t>申请部门</t>
    <phoneticPr fontId="2" type="noConversion"/>
  </si>
  <si>
    <t>年</t>
    <phoneticPr fontId="2" type="noConversion"/>
  </si>
  <si>
    <t>月</t>
    <phoneticPr fontId="2" type="noConversion"/>
  </si>
  <si>
    <t>日</t>
    <phoneticPr fontId="2" type="noConversion"/>
  </si>
  <si>
    <t>要求到货日期</t>
    <phoneticPr fontId="2" type="noConversion"/>
  </si>
  <si>
    <t>申购数量</t>
    <phoneticPr fontId="2" type="noConversion"/>
  </si>
  <si>
    <t>库存量</t>
    <phoneticPr fontId="2" type="noConversion"/>
  </si>
  <si>
    <t>单位</t>
    <phoneticPr fontId="2" type="noConversion"/>
  </si>
  <si>
    <t>标准用量</t>
    <phoneticPr fontId="2" type="noConversion"/>
  </si>
  <si>
    <t>供应商</t>
    <phoneticPr fontId="2" type="noConversion"/>
  </si>
  <si>
    <t>采购清单</t>
    <phoneticPr fontId="2" type="noConversion"/>
  </si>
  <si>
    <t xml:space="preserve">    合计</t>
    <phoneticPr fontId="2" type="noConversion"/>
  </si>
  <si>
    <t>经营计划部意见</t>
    <phoneticPr fontId="2" type="noConversion"/>
  </si>
  <si>
    <t>签字</t>
    <phoneticPr fontId="2" type="noConversion"/>
  </si>
  <si>
    <t>日期</t>
    <phoneticPr fontId="2" type="noConversion"/>
  </si>
  <si>
    <t>三菱</t>
  </si>
  <si>
    <t>海尔</t>
  </si>
  <si>
    <t>日立</t>
  </si>
  <si>
    <t>美的</t>
  </si>
  <si>
    <t>奥柯玛</t>
  </si>
  <si>
    <t>奥克斯</t>
  </si>
  <si>
    <t>交货日期</t>
    <phoneticPr fontId="2" type="noConversion"/>
  </si>
  <si>
    <t>HT102</t>
  </si>
  <si>
    <t>HT103</t>
  </si>
  <si>
    <t>HT104</t>
  </si>
  <si>
    <t>HT109</t>
  </si>
  <si>
    <t>原 料 采 购 登 记 表</t>
    <phoneticPr fontId="2" type="noConversion"/>
  </si>
  <si>
    <t>HT100 计数</t>
  </si>
  <si>
    <t>HT101 计数</t>
  </si>
  <si>
    <t>HT102 计数</t>
  </si>
  <si>
    <t>HT103 计数</t>
  </si>
  <si>
    <t>HT104 计数</t>
  </si>
  <si>
    <t>HT109 计数</t>
  </si>
  <si>
    <t>总计数</t>
  </si>
  <si>
    <t>序号</t>
    <phoneticPr fontId="2" type="noConversion"/>
  </si>
  <si>
    <t>原料名称</t>
    <phoneticPr fontId="2" type="noConversion"/>
  </si>
  <si>
    <t>购买数量</t>
    <phoneticPr fontId="2" type="noConversion"/>
  </si>
  <si>
    <t>单价</t>
    <phoneticPr fontId="2" type="noConversion"/>
  </si>
  <si>
    <t>金额</t>
    <phoneticPr fontId="2" type="noConversion"/>
  </si>
  <si>
    <t>采购发票号</t>
    <phoneticPr fontId="2" type="noConversion"/>
  </si>
  <si>
    <t>购买日期</t>
    <phoneticPr fontId="2" type="noConversion"/>
  </si>
  <si>
    <t>合同号</t>
    <phoneticPr fontId="2" type="noConversion"/>
  </si>
  <si>
    <t>交货数量</t>
    <phoneticPr fontId="2" type="noConversion"/>
  </si>
  <si>
    <t>交货情况</t>
    <phoneticPr fontId="2" type="noConversion"/>
  </si>
  <si>
    <t>空调1</t>
    <phoneticPr fontId="2" type="noConversion"/>
  </si>
  <si>
    <t>台</t>
    <phoneticPr fontId="2" type="noConversion"/>
  </si>
  <si>
    <t>销售部</t>
    <phoneticPr fontId="2" type="noConversion"/>
  </si>
  <si>
    <t>申请日期</t>
    <phoneticPr fontId="2" type="noConversion"/>
  </si>
  <si>
    <t>年</t>
    <phoneticPr fontId="2" type="noConversion"/>
  </si>
  <si>
    <t>月</t>
    <phoneticPr fontId="2" type="noConversion"/>
  </si>
  <si>
    <t>日</t>
    <phoneticPr fontId="2" type="noConversion"/>
  </si>
  <si>
    <t>采购原因</t>
    <phoneticPr fontId="2" type="noConversion"/>
  </si>
  <si>
    <t>库存不足</t>
    <phoneticPr fontId="2" type="noConversion"/>
  </si>
  <si>
    <t>序号</t>
    <phoneticPr fontId="2" type="noConversion"/>
  </si>
  <si>
    <t>原料名称</t>
    <phoneticPr fontId="2" type="noConversion"/>
  </si>
  <si>
    <t>规格型号</t>
    <phoneticPr fontId="2" type="noConversion"/>
  </si>
  <si>
    <t>签字</t>
    <phoneticPr fontId="2" type="noConversion"/>
  </si>
  <si>
    <t>日期</t>
    <phoneticPr fontId="2" type="noConversion"/>
  </si>
  <si>
    <t>总经理审批意见</t>
    <phoneticPr fontId="2" type="noConversion"/>
  </si>
  <si>
    <t>HT100</t>
    <phoneticPr fontId="2" type="noConversion"/>
  </si>
  <si>
    <t>HT101</t>
    <phoneticPr fontId="2" type="noConversion"/>
  </si>
  <si>
    <t>HT103</t>
    <phoneticPr fontId="2" type="noConversion"/>
  </si>
  <si>
    <t>HT104</t>
    <phoneticPr fontId="2" type="noConversion"/>
  </si>
  <si>
    <t>HT102</t>
    <phoneticPr fontId="2" type="noConversion"/>
  </si>
  <si>
    <t>已交</t>
    <phoneticPr fontId="2" type="noConversion"/>
  </si>
</sst>
</file>

<file path=xl/styles.xml><?xml version="1.0" encoding="utf-8"?>
<styleSheet xmlns="http://schemas.openxmlformats.org/spreadsheetml/2006/main">
  <fonts count="5">
    <font>
      <sz val="12"/>
      <name val="宋体"/>
      <charset val="134"/>
    </font>
    <font>
      <sz val="20"/>
      <name val="隶书"/>
      <family val="3"/>
      <charset val="134"/>
    </font>
    <font>
      <sz val="9"/>
      <name val="宋体"/>
      <charset val="134"/>
    </font>
    <font>
      <sz val="12"/>
      <name val="隶书"/>
      <family val="3"/>
      <charset val="134"/>
    </font>
    <font>
      <b/>
      <sz val="12"/>
      <name val="隶书"/>
      <family val="3"/>
      <charset val="134"/>
    </font>
  </fonts>
  <fills count="5">
    <fill>
      <patternFill patternType="none"/>
    </fill>
    <fill>
      <patternFill patternType="gray125"/>
    </fill>
    <fill>
      <patternFill patternType="solid">
        <fgColor indexed="42"/>
        <bgColor indexed="64"/>
      </patternFill>
    </fill>
    <fill>
      <patternFill patternType="solid">
        <fgColor indexed="11"/>
        <bgColor indexed="64"/>
      </patternFill>
    </fill>
    <fill>
      <patternFill patternType="solid">
        <fgColor indexed="9"/>
        <bgColor indexed="64"/>
      </patternFill>
    </fill>
  </fills>
  <borders count="21">
    <border>
      <left/>
      <right/>
      <top/>
      <bottom/>
      <diagonal/>
    </border>
    <border>
      <left style="double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double">
        <color indexed="64"/>
      </right>
      <top style="thin">
        <color indexed="64"/>
      </top>
      <bottom style="thin">
        <color indexed="64"/>
      </bottom>
      <diagonal/>
    </border>
    <border>
      <left style="double">
        <color indexed="64"/>
      </left>
      <right style="thin">
        <color indexed="64"/>
      </right>
      <top style="thin">
        <color indexed="64"/>
      </top>
      <bottom style="double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double">
        <color indexed="64"/>
      </bottom>
      <diagonal/>
    </border>
    <border>
      <left style="thin">
        <color indexed="64"/>
      </left>
      <right style="double">
        <color indexed="64"/>
      </right>
      <top style="thin">
        <color indexed="64"/>
      </top>
      <bottom style="double">
        <color indexed="64"/>
      </bottom>
      <diagonal/>
    </border>
    <border>
      <left style="double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double">
        <color indexed="64"/>
      </right>
      <top style="thin">
        <color indexed="64"/>
      </top>
      <bottom/>
      <diagonal/>
    </border>
    <border>
      <left style="double">
        <color indexed="64"/>
      </left>
      <right style="thin">
        <color indexed="64"/>
      </right>
      <top style="double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double">
        <color indexed="64"/>
      </top>
      <bottom style="thin">
        <color indexed="64"/>
      </bottom>
      <diagonal/>
    </border>
    <border>
      <left style="thin">
        <color indexed="64"/>
      </left>
      <right style="double">
        <color indexed="64"/>
      </right>
      <top style="double">
        <color indexed="64"/>
      </top>
      <bottom style="thin">
        <color indexed="64"/>
      </bottom>
      <diagonal/>
    </border>
    <border diagonalDown="1"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 style="thin">
        <color indexed="64"/>
      </diagonal>
    </border>
    <border>
      <left style="double">
        <color indexed="64"/>
      </left>
      <right/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 style="double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double">
        <color indexed="64"/>
      </bottom>
      <diagonal/>
    </border>
    <border>
      <left/>
      <right style="double">
        <color indexed="64"/>
      </right>
      <top style="thin">
        <color indexed="64"/>
      </top>
      <bottom style="double">
        <color indexed="64"/>
      </bottom>
      <diagonal/>
    </border>
  </borders>
  <cellStyleXfs count="1">
    <xf numFmtId="0" fontId="0" fillId="0" borderId="0">
      <alignment vertical="center"/>
    </xf>
  </cellStyleXfs>
  <cellXfs count="45">
    <xf numFmtId="0" fontId="0" fillId="0" borderId="0" xfId="0">
      <alignment vertical="center"/>
    </xf>
    <xf numFmtId="0" fontId="3" fillId="2" borderId="1" xfId="0" applyFont="1" applyFill="1" applyBorder="1" applyAlignment="1">
      <alignment horizontal="center" vertical="center"/>
    </xf>
    <xf numFmtId="0" fontId="3" fillId="2" borderId="2" xfId="0" applyFont="1" applyFill="1" applyBorder="1" applyAlignment="1">
      <alignment horizontal="center" vertical="center"/>
    </xf>
    <xf numFmtId="0" fontId="3" fillId="2" borderId="3" xfId="0" applyFont="1" applyFill="1" applyBorder="1" applyAlignment="1">
      <alignment horizontal="center" vertical="center"/>
    </xf>
    <xf numFmtId="14" fontId="3" fillId="2" borderId="2" xfId="0" applyNumberFormat="1" applyFont="1" applyFill="1" applyBorder="1" applyAlignment="1">
      <alignment horizontal="center" vertical="center"/>
    </xf>
    <xf numFmtId="0" fontId="3" fillId="2" borderId="4" xfId="0" applyFont="1" applyFill="1" applyBorder="1" applyAlignment="1">
      <alignment horizontal="center" vertical="center"/>
    </xf>
    <xf numFmtId="0" fontId="3" fillId="2" borderId="5" xfId="0" applyFont="1" applyFill="1" applyBorder="1" applyAlignment="1">
      <alignment horizontal="center" vertical="center"/>
    </xf>
    <xf numFmtId="14" fontId="3" fillId="2" borderId="5" xfId="0" applyNumberFormat="1" applyFont="1" applyFill="1" applyBorder="1" applyAlignment="1">
      <alignment horizontal="center" vertical="center"/>
    </xf>
    <xf numFmtId="0" fontId="3" fillId="2" borderId="6" xfId="0" applyFont="1" applyFill="1" applyBorder="1" applyAlignment="1">
      <alignment horizontal="center" vertical="center"/>
    </xf>
    <xf numFmtId="0" fontId="4" fillId="2" borderId="2" xfId="0" applyNumberFormat="1" applyFont="1" applyFill="1" applyBorder="1" applyAlignment="1">
      <alignment horizontal="center" vertical="center"/>
    </xf>
    <xf numFmtId="0" fontId="4" fillId="2" borderId="2" xfId="0" applyFont="1" applyFill="1" applyBorder="1" applyAlignment="1">
      <alignment horizontal="center" vertical="center"/>
    </xf>
    <xf numFmtId="0" fontId="3" fillId="2" borderId="7" xfId="0" applyFont="1" applyFill="1" applyBorder="1" applyAlignment="1">
      <alignment horizontal="center" vertical="center"/>
    </xf>
    <xf numFmtId="0" fontId="3" fillId="2" borderId="8" xfId="0" applyFont="1" applyFill="1" applyBorder="1" applyAlignment="1">
      <alignment horizontal="center" vertical="center"/>
    </xf>
    <xf numFmtId="14" fontId="3" fillId="2" borderId="8" xfId="0" applyNumberFormat="1" applyFont="1" applyFill="1" applyBorder="1" applyAlignment="1">
      <alignment horizontal="center" vertical="center"/>
    </xf>
    <xf numFmtId="0" fontId="3" fillId="2" borderId="9" xfId="0" applyFont="1" applyFill="1" applyBorder="1" applyAlignment="1">
      <alignment horizontal="center" vertical="center"/>
    </xf>
    <xf numFmtId="0" fontId="4" fillId="2" borderId="8" xfId="0" applyFont="1" applyFill="1" applyBorder="1" applyAlignment="1">
      <alignment horizontal="center" vertical="center"/>
    </xf>
    <xf numFmtId="0" fontId="3" fillId="2" borderId="0" xfId="0" applyFont="1" applyFill="1" applyBorder="1" applyAlignment="1">
      <alignment horizontal="center" vertical="center"/>
    </xf>
    <xf numFmtId="14" fontId="3" fillId="2" borderId="0" xfId="0" applyNumberFormat="1" applyFont="1" applyFill="1" applyBorder="1" applyAlignment="1">
      <alignment horizontal="center" vertical="center"/>
    </xf>
    <xf numFmtId="0" fontId="4" fillId="2" borderId="0" xfId="0" applyFont="1" applyFill="1" applyBorder="1" applyAlignment="1">
      <alignment horizontal="center" vertical="center"/>
    </xf>
    <xf numFmtId="0" fontId="0" fillId="4" borderId="0" xfId="0" applyFill="1">
      <alignment vertical="center"/>
    </xf>
    <xf numFmtId="0" fontId="3" fillId="4" borderId="1" xfId="0" applyFont="1" applyFill="1" applyBorder="1" applyAlignment="1">
      <alignment horizontal="center" vertical="center"/>
    </xf>
    <xf numFmtId="0" fontId="3" fillId="4" borderId="2" xfId="0" applyFont="1" applyFill="1" applyBorder="1" applyAlignment="1">
      <alignment horizontal="center" vertical="center"/>
    </xf>
    <xf numFmtId="14" fontId="3" fillId="4" borderId="2" xfId="0" applyNumberFormat="1" applyFont="1" applyFill="1" applyBorder="1" applyAlignment="1">
      <alignment horizontal="center" vertical="center"/>
    </xf>
    <xf numFmtId="0" fontId="3" fillId="4" borderId="2" xfId="0" applyNumberFormat="1" applyFont="1" applyFill="1" applyBorder="1" applyAlignment="1">
      <alignment horizontal="center" vertical="center"/>
    </xf>
    <xf numFmtId="0" fontId="3" fillId="4" borderId="3" xfId="0" applyFont="1" applyFill="1" applyBorder="1" applyAlignment="1">
      <alignment horizontal="center" vertical="center"/>
    </xf>
    <xf numFmtId="0" fontId="3" fillId="4" borderId="13" xfId="0" applyFont="1" applyFill="1" applyBorder="1" applyAlignment="1">
      <alignment horizontal="center" vertical="center"/>
    </xf>
    <xf numFmtId="0" fontId="3" fillId="4" borderId="5" xfId="0" applyFont="1" applyFill="1" applyBorder="1" applyAlignment="1">
      <alignment horizontal="center" vertical="center"/>
    </xf>
    <xf numFmtId="0" fontId="3" fillId="4" borderId="4" xfId="0" applyFont="1" applyFill="1" applyBorder="1" applyAlignment="1">
      <alignment horizontal="center" vertical="center"/>
    </xf>
    <xf numFmtId="0" fontId="3" fillId="4" borderId="5" xfId="0" applyFont="1" applyFill="1" applyBorder="1" applyAlignment="1">
      <alignment horizontal="center" vertical="center"/>
    </xf>
    <xf numFmtId="0" fontId="3" fillId="4" borderId="2" xfId="0" applyFont="1" applyFill="1" applyBorder="1" applyAlignment="1">
      <alignment horizontal="center" vertical="center"/>
    </xf>
    <xf numFmtId="0" fontId="3" fillId="4" borderId="19" xfId="0" applyFont="1" applyFill="1" applyBorder="1" applyAlignment="1">
      <alignment horizontal="center" vertical="center"/>
    </xf>
    <xf numFmtId="0" fontId="3" fillId="4" borderId="20" xfId="0" applyFont="1" applyFill="1" applyBorder="1" applyAlignment="1">
      <alignment horizontal="center" vertical="center"/>
    </xf>
    <xf numFmtId="0" fontId="3" fillId="4" borderId="1" xfId="0" applyFont="1" applyFill="1" applyBorder="1" applyAlignment="1">
      <alignment horizontal="center" vertical="center" textRotation="255"/>
    </xf>
    <xf numFmtId="0" fontId="1" fillId="4" borderId="10" xfId="0" applyFont="1" applyFill="1" applyBorder="1" applyAlignment="1">
      <alignment horizontal="center" vertical="center"/>
    </xf>
    <xf numFmtId="0" fontId="1" fillId="4" borderId="11" xfId="0" applyFont="1" applyFill="1" applyBorder="1" applyAlignment="1">
      <alignment horizontal="center" vertical="center"/>
    </xf>
    <xf numFmtId="0" fontId="1" fillId="4" borderId="12" xfId="0" applyFont="1" applyFill="1" applyBorder="1" applyAlignment="1">
      <alignment horizontal="center" vertical="center"/>
    </xf>
    <xf numFmtId="0" fontId="3" fillId="4" borderId="14" xfId="0" applyFont="1" applyFill="1" applyBorder="1" applyAlignment="1">
      <alignment horizontal="left" vertical="center"/>
    </xf>
    <xf numFmtId="0" fontId="3" fillId="4" borderId="15" xfId="0" applyFont="1" applyFill="1" applyBorder="1" applyAlignment="1">
      <alignment horizontal="left" vertical="center"/>
    </xf>
    <xf numFmtId="0" fontId="3" fillId="4" borderId="16" xfId="0" applyFont="1" applyFill="1" applyBorder="1" applyAlignment="1">
      <alignment horizontal="left" vertical="center"/>
    </xf>
    <xf numFmtId="0" fontId="3" fillId="4" borderId="17" xfId="0" applyFont="1" applyFill="1" applyBorder="1" applyAlignment="1">
      <alignment horizontal="center" vertical="center"/>
    </xf>
    <xf numFmtId="0" fontId="3" fillId="4" borderId="18" xfId="0" applyFont="1" applyFill="1" applyBorder="1" applyAlignment="1">
      <alignment horizontal="center" vertical="center"/>
    </xf>
    <xf numFmtId="0" fontId="3" fillId="4" borderId="1" xfId="0" applyFont="1" applyFill="1" applyBorder="1" applyAlignment="1">
      <alignment horizontal="center" vertical="center"/>
    </xf>
    <xf numFmtId="0" fontId="1" fillId="3" borderId="10" xfId="0" applyFont="1" applyFill="1" applyBorder="1" applyAlignment="1">
      <alignment horizontal="center" vertical="center"/>
    </xf>
    <xf numFmtId="0" fontId="1" fillId="3" borderId="11" xfId="0" applyFont="1" applyFill="1" applyBorder="1" applyAlignment="1">
      <alignment horizontal="center" vertical="center"/>
    </xf>
    <xf numFmtId="0" fontId="1" fillId="3" borderId="12" xfId="0" applyFont="1" applyFill="1" applyBorder="1" applyAlignment="1">
      <alignment horizontal="center" vertical="center"/>
    </xf>
  </cellXfs>
  <cellStyles count="1">
    <cellStyle name="常规" xfId="0" builtinId="0"/>
  </cellStyles>
  <dxfs count="0"/>
  <tableStyles count="0" defaultTableStyle="TableStyleMedium9" defaultPivotStyle="PivotStyleLight16"/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theme" Target="theme/theme1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calcChain" Target="calcChain.xml"/><Relationship Id="rId5" Type="http://schemas.openxmlformats.org/officeDocument/2006/relationships/sharedStrings" Target="sharedStrings.xml"/><Relationship Id="rId4" Type="http://schemas.openxmlformats.org/officeDocument/2006/relationships/styles" Target="styles.xml"/></Relationships>
</file>

<file path=xl/theme/theme1.xml><?xml version="1.0" encoding="utf-8"?>
<a:theme xmlns:a="http://schemas.openxmlformats.org/drawingml/2006/main" name="Office 主题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sheet1.xml><?xml version="1.0" encoding="utf-8"?>
<worksheet xmlns="http://schemas.openxmlformats.org/spreadsheetml/2006/main" xmlns:r="http://schemas.openxmlformats.org/officeDocument/2006/relationships">
  <dimension ref="A1:I22"/>
  <sheetViews>
    <sheetView workbookViewId="0">
      <selection activeCell="J9" sqref="J9"/>
    </sheetView>
  </sheetViews>
  <sheetFormatPr defaultRowHeight="15.6"/>
  <cols>
    <col min="1" max="2" width="9.5" style="19" bestFit="1" customWidth="1"/>
    <col min="3" max="3" width="13.8984375" style="19" bestFit="1" customWidth="1"/>
    <col min="4" max="5" width="9.5" style="19" bestFit="1" customWidth="1"/>
    <col min="6" max="6" width="7.5" style="19" bestFit="1" customWidth="1"/>
    <col min="7" max="7" width="5.5" style="19" bestFit="1" customWidth="1"/>
    <col min="8" max="8" width="9.5" style="19" bestFit="1" customWidth="1"/>
    <col min="9" max="9" width="7.5" style="19" bestFit="1" customWidth="1"/>
    <col min="10" max="16384" width="8.796875" style="19"/>
  </cols>
  <sheetData>
    <row r="1" spans="1:9" ht="26.4" thickTop="1">
      <c r="A1" s="33" t="s">
        <v>14</v>
      </c>
      <c r="B1" s="34"/>
      <c r="C1" s="34"/>
      <c r="D1" s="34"/>
      <c r="E1" s="34"/>
      <c r="F1" s="34"/>
      <c r="G1" s="34"/>
      <c r="H1" s="34"/>
      <c r="I1" s="35"/>
    </row>
    <row r="2" spans="1:9">
      <c r="A2" s="20" t="s">
        <v>15</v>
      </c>
      <c r="B2" s="21" t="s">
        <v>61</v>
      </c>
      <c r="C2" s="21" t="s">
        <v>62</v>
      </c>
      <c r="D2" s="21">
        <v>2005</v>
      </c>
      <c r="E2" s="21" t="s">
        <v>63</v>
      </c>
      <c r="F2" s="21">
        <v>10</v>
      </c>
      <c r="G2" s="22" t="s">
        <v>64</v>
      </c>
      <c r="H2" s="23">
        <v>30</v>
      </c>
      <c r="I2" s="24" t="s">
        <v>65</v>
      </c>
    </row>
    <row r="3" spans="1:9">
      <c r="A3" s="20" t="s">
        <v>66</v>
      </c>
      <c r="B3" s="21" t="s">
        <v>67</v>
      </c>
      <c r="C3" s="21" t="s">
        <v>19</v>
      </c>
      <c r="D3" s="21">
        <v>2005</v>
      </c>
      <c r="E3" s="21" t="s">
        <v>16</v>
      </c>
      <c r="F3" s="21">
        <v>11</v>
      </c>
      <c r="G3" s="22" t="s">
        <v>17</v>
      </c>
      <c r="H3" s="23">
        <v>30</v>
      </c>
      <c r="I3" s="24" t="s">
        <v>18</v>
      </c>
    </row>
    <row r="4" spans="1:9">
      <c r="A4" s="20"/>
      <c r="B4" s="21" t="s">
        <v>68</v>
      </c>
      <c r="C4" s="21" t="s">
        <v>69</v>
      </c>
      <c r="D4" s="21" t="s">
        <v>70</v>
      </c>
      <c r="E4" s="21" t="s">
        <v>20</v>
      </c>
      <c r="F4" s="21" t="s">
        <v>21</v>
      </c>
      <c r="G4" s="21" t="s">
        <v>22</v>
      </c>
      <c r="H4" s="21" t="s">
        <v>23</v>
      </c>
      <c r="I4" s="24" t="s">
        <v>24</v>
      </c>
    </row>
    <row r="5" spans="1:9">
      <c r="A5" s="32" t="s">
        <v>25</v>
      </c>
      <c r="B5" s="21">
        <v>1</v>
      </c>
      <c r="C5" s="21" t="s">
        <v>59</v>
      </c>
      <c r="D5" s="25"/>
      <c r="E5" s="21">
        <v>19</v>
      </c>
      <c r="F5" s="21">
        <v>3</v>
      </c>
      <c r="G5" s="21" t="s">
        <v>60</v>
      </c>
      <c r="H5" s="21">
        <v>16</v>
      </c>
      <c r="I5" s="24" t="s">
        <v>30</v>
      </c>
    </row>
    <row r="6" spans="1:9">
      <c r="A6" s="32"/>
      <c r="B6" s="21">
        <v>2</v>
      </c>
      <c r="C6" s="21" t="s">
        <v>0</v>
      </c>
      <c r="D6" s="25"/>
      <c r="E6" s="21">
        <v>30</v>
      </c>
      <c r="F6" s="21">
        <v>2</v>
      </c>
      <c r="G6" s="21" t="s">
        <v>60</v>
      </c>
      <c r="H6" s="21">
        <v>25</v>
      </c>
      <c r="I6" s="24" t="s">
        <v>31</v>
      </c>
    </row>
    <row r="7" spans="1:9">
      <c r="A7" s="32"/>
      <c r="B7" s="21">
        <v>3</v>
      </c>
      <c r="C7" s="21" t="s">
        <v>1</v>
      </c>
      <c r="D7" s="25"/>
      <c r="E7" s="21">
        <v>39</v>
      </c>
      <c r="F7" s="21">
        <v>4</v>
      </c>
      <c r="G7" s="21" t="s">
        <v>60</v>
      </c>
      <c r="H7" s="21">
        <v>33</v>
      </c>
      <c r="I7" s="24" t="s">
        <v>32</v>
      </c>
    </row>
    <row r="8" spans="1:9">
      <c r="A8" s="32"/>
      <c r="B8" s="21">
        <v>4</v>
      </c>
      <c r="C8" s="21" t="s">
        <v>2</v>
      </c>
      <c r="D8" s="25"/>
      <c r="E8" s="21">
        <v>60</v>
      </c>
      <c r="F8" s="21">
        <v>3</v>
      </c>
      <c r="G8" s="21" t="s">
        <v>60</v>
      </c>
      <c r="H8" s="21">
        <v>50</v>
      </c>
      <c r="I8" s="24" t="s">
        <v>33</v>
      </c>
    </row>
    <row r="9" spans="1:9">
      <c r="A9" s="32"/>
      <c r="B9" s="21">
        <v>5</v>
      </c>
      <c r="C9" s="21" t="s">
        <v>3</v>
      </c>
      <c r="D9" s="25"/>
      <c r="E9" s="21">
        <v>66</v>
      </c>
      <c r="F9" s="21">
        <v>7</v>
      </c>
      <c r="G9" s="21" t="s">
        <v>60</v>
      </c>
      <c r="H9" s="21">
        <v>55</v>
      </c>
      <c r="I9" s="24" t="s">
        <v>34</v>
      </c>
    </row>
    <row r="10" spans="1:9">
      <c r="A10" s="32"/>
      <c r="B10" s="21">
        <v>6</v>
      </c>
      <c r="C10" s="21" t="s">
        <v>4</v>
      </c>
      <c r="D10" s="25"/>
      <c r="E10" s="21">
        <v>30</v>
      </c>
      <c r="F10" s="21">
        <v>5</v>
      </c>
      <c r="G10" s="21" t="s">
        <v>60</v>
      </c>
      <c r="H10" s="21">
        <v>25</v>
      </c>
      <c r="I10" s="24" t="s">
        <v>30</v>
      </c>
    </row>
    <row r="11" spans="1:9">
      <c r="A11" s="32"/>
      <c r="B11" s="21">
        <v>7</v>
      </c>
      <c r="C11" s="21" t="s">
        <v>5</v>
      </c>
      <c r="D11" s="25"/>
      <c r="E11" s="21">
        <v>39</v>
      </c>
      <c r="F11" s="21">
        <v>2</v>
      </c>
      <c r="G11" s="21" t="s">
        <v>60</v>
      </c>
      <c r="H11" s="21">
        <v>33</v>
      </c>
      <c r="I11" s="24" t="s">
        <v>33</v>
      </c>
    </row>
    <row r="12" spans="1:9">
      <c r="A12" s="32"/>
      <c r="B12" s="21">
        <v>8</v>
      </c>
      <c r="C12" s="21" t="s">
        <v>6</v>
      </c>
      <c r="D12" s="25"/>
      <c r="E12" s="21">
        <v>30</v>
      </c>
      <c r="F12" s="21">
        <v>6</v>
      </c>
      <c r="G12" s="21" t="s">
        <v>60</v>
      </c>
      <c r="H12" s="21">
        <v>25</v>
      </c>
      <c r="I12" s="24" t="s">
        <v>34</v>
      </c>
    </row>
    <row r="13" spans="1:9">
      <c r="A13" s="32"/>
      <c r="B13" s="21">
        <v>9</v>
      </c>
      <c r="C13" s="21" t="s">
        <v>7</v>
      </c>
      <c r="D13" s="25"/>
      <c r="E13" s="21">
        <v>30</v>
      </c>
      <c r="F13" s="21">
        <v>8</v>
      </c>
      <c r="G13" s="21" t="s">
        <v>60</v>
      </c>
      <c r="H13" s="21">
        <v>25</v>
      </c>
      <c r="I13" s="24" t="s">
        <v>30</v>
      </c>
    </row>
    <row r="14" spans="1:9">
      <c r="A14" s="32"/>
      <c r="B14" s="21">
        <v>10</v>
      </c>
      <c r="C14" s="21" t="s">
        <v>8</v>
      </c>
      <c r="D14" s="25"/>
      <c r="E14" s="21">
        <v>49</v>
      </c>
      <c r="F14" s="21">
        <v>2</v>
      </c>
      <c r="G14" s="21" t="s">
        <v>60</v>
      </c>
      <c r="H14" s="21">
        <v>41</v>
      </c>
      <c r="I14" s="24" t="s">
        <v>35</v>
      </c>
    </row>
    <row r="15" spans="1:9">
      <c r="A15" s="32"/>
      <c r="B15" s="21">
        <v>11</v>
      </c>
      <c r="C15" s="21" t="s">
        <v>9</v>
      </c>
      <c r="D15" s="25"/>
      <c r="E15" s="21">
        <v>19</v>
      </c>
      <c r="F15" s="21">
        <v>10</v>
      </c>
      <c r="G15" s="21" t="s">
        <v>60</v>
      </c>
      <c r="H15" s="21">
        <v>16</v>
      </c>
      <c r="I15" s="24" t="s">
        <v>31</v>
      </c>
    </row>
    <row r="16" spans="1:9">
      <c r="A16" s="32"/>
      <c r="B16" s="21">
        <v>12</v>
      </c>
      <c r="C16" s="21" t="s">
        <v>10</v>
      </c>
      <c r="D16" s="25"/>
      <c r="E16" s="21">
        <v>39</v>
      </c>
      <c r="F16" s="21">
        <v>5</v>
      </c>
      <c r="G16" s="21" t="s">
        <v>60</v>
      </c>
      <c r="H16" s="21">
        <v>33</v>
      </c>
      <c r="I16" s="24" t="s">
        <v>33</v>
      </c>
    </row>
    <row r="17" spans="1:9">
      <c r="A17" s="32"/>
      <c r="B17" s="21">
        <v>13</v>
      </c>
      <c r="C17" s="21" t="s">
        <v>11</v>
      </c>
      <c r="D17" s="25"/>
      <c r="E17" s="21">
        <v>19</v>
      </c>
      <c r="F17" s="21">
        <v>9</v>
      </c>
      <c r="G17" s="21" t="s">
        <v>60</v>
      </c>
      <c r="H17" s="21">
        <v>16</v>
      </c>
      <c r="I17" s="24" t="s">
        <v>34</v>
      </c>
    </row>
    <row r="18" spans="1:9">
      <c r="A18" s="32"/>
      <c r="B18" s="21">
        <v>14</v>
      </c>
      <c r="C18" s="21" t="s">
        <v>12</v>
      </c>
      <c r="D18" s="25"/>
      <c r="E18" s="21">
        <v>60</v>
      </c>
      <c r="F18" s="21">
        <v>4</v>
      </c>
      <c r="G18" s="21" t="s">
        <v>60</v>
      </c>
      <c r="H18" s="21">
        <v>50</v>
      </c>
      <c r="I18" s="24" t="s">
        <v>32</v>
      </c>
    </row>
    <row r="19" spans="1:9">
      <c r="A19" s="32"/>
      <c r="B19" s="21">
        <v>15</v>
      </c>
      <c r="C19" s="21" t="s">
        <v>13</v>
      </c>
      <c r="D19" s="25"/>
      <c r="E19" s="21">
        <v>30</v>
      </c>
      <c r="F19" s="21">
        <v>7</v>
      </c>
      <c r="G19" s="21" t="s">
        <v>60</v>
      </c>
      <c r="H19" s="21">
        <v>25</v>
      </c>
      <c r="I19" s="24" t="s">
        <v>31</v>
      </c>
    </row>
    <row r="20" spans="1:9">
      <c r="A20" s="36" t="s">
        <v>26</v>
      </c>
      <c r="B20" s="37"/>
      <c r="C20" s="37"/>
      <c r="D20" s="38"/>
      <c r="E20" s="21">
        <v>559</v>
      </c>
      <c r="F20" s="21">
        <v>77</v>
      </c>
      <c r="G20" s="21"/>
      <c r="H20" s="21">
        <v>468</v>
      </c>
      <c r="I20" s="24"/>
    </row>
    <row r="21" spans="1:9">
      <c r="A21" s="41" t="s">
        <v>27</v>
      </c>
      <c r="B21" s="29"/>
      <c r="C21" s="29"/>
      <c r="D21" s="29"/>
      <c r="E21" s="21" t="s">
        <v>71</v>
      </c>
      <c r="F21" s="21"/>
      <c r="G21" s="21" t="s">
        <v>72</v>
      </c>
      <c r="H21" s="39"/>
      <c r="I21" s="40"/>
    </row>
    <row r="22" spans="1:9" ht="16.2" thickBot="1">
      <c r="A22" s="27" t="s">
        <v>73</v>
      </c>
      <c r="B22" s="28"/>
      <c r="C22" s="28"/>
      <c r="D22" s="28"/>
      <c r="E22" s="26" t="s">
        <v>28</v>
      </c>
      <c r="F22" s="26"/>
      <c r="G22" s="26" t="s">
        <v>29</v>
      </c>
      <c r="H22" s="30"/>
      <c r="I22" s="31"/>
    </row>
  </sheetData>
  <mergeCells count="9">
    <mergeCell ref="A1:I1"/>
    <mergeCell ref="A20:D20"/>
    <mergeCell ref="H21:I21"/>
    <mergeCell ref="A21:B21"/>
    <mergeCell ref="A22:B22"/>
    <mergeCell ref="C21:D21"/>
    <mergeCell ref="C22:D22"/>
    <mergeCell ref="H22:I22"/>
    <mergeCell ref="A5:A19"/>
  </mergeCells>
  <phoneticPr fontId="2" type="noConversion"/>
  <pageMargins left="0.75" right="0.75" top="1" bottom="1" header="0.5" footer="0.5"/>
  <headerFooter alignWithMargins="0"/>
</worksheet>
</file>

<file path=xl/worksheets/sheet2.xml><?xml version="1.0" encoding="utf-8"?>
<worksheet xmlns="http://schemas.openxmlformats.org/spreadsheetml/2006/main" xmlns:r="http://schemas.openxmlformats.org/officeDocument/2006/relationships">
  <dimension ref="A1:M24"/>
  <sheetViews>
    <sheetView showGridLines="0" tabSelected="1" workbookViewId="0">
      <selection activeCell="D11" sqref="D11"/>
    </sheetView>
  </sheetViews>
  <sheetFormatPr defaultRowHeight="15.6" outlineLevelRow="2"/>
  <cols>
    <col min="1" max="1" width="4.8984375" customWidth="1"/>
    <col min="4" max="4" width="5.09765625" customWidth="1"/>
    <col min="5" max="5" width="5.5" bestFit="1" customWidth="1"/>
    <col min="6" max="6" width="7.5" bestFit="1" customWidth="1"/>
    <col min="7" max="7" width="11.59765625" bestFit="1" customWidth="1"/>
    <col min="8" max="8" width="10.69921875" customWidth="1"/>
    <col min="9" max="9" width="7.5" customWidth="1"/>
    <col min="10" max="10" width="10.59765625" customWidth="1"/>
    <col min="11" max="11" width="8.19921875" customWidth="1"/>
    <col min="12" max="12" width="8.3984375" customWidth="1"/>
    <col min="13" max="13" width="7.59765625" customWidth="1"/>
  </cols>
  <sheetData>
    <row r="1" spans="1:13" ht="26.4" thickTop="1">
      <c r="A1" s="42" t="s">
        <v>41</v>
      </c>
      <c r="B1" s="43"/>
      <c r="C1" s="43"/>
      <c r="D1" s="43"/>
      <c r="E1" s="43"/>
      <c r="F1" s="43"/>
      <c r="G1" s="43"/>
      <c r="H1" s="43"/>
      <c r="I1" s="43"/>
      <c r="J1" s="43"/>
      <c r="K1" s="43"/>
      <c r="L1" s="43"/>
      <c r="M1" s="44"/>
    </row>
    <row r="2" spans="1:13">
      <c r="A2" s="1" t="s">
        <v>49</v>
      </c>
      <c r="B2" s="2" t="s">
        <v>50</v>
      </c>
      <c r="C2" s="2" t="s">
        <v>51</v>
      </c>
      <c r="D2" s="2" t="s">
        <v>22</v>
      </c>
      <c r="E2" s="2" t="s">
        <v>52</v>
      </c>
      <c r="F2" s="2" t="s">
        <v>53</v>
      </c>
      <c r="G2" s="2" t="s">
        <v>54</v>
      </c>
      <c r="H2" s="2" t="s">
        <v>55</v>
      </c>
      <c r="I2" s="2" t="s">
        <v>56</v>
      </c>
      <c r="J2" s="2" t="s">
        <v>36</v>
      </c>
      <c r="K2" s="2" t="s">
        <v>57</v>
      </c>
      <c r="L2" s="2" t="s">
        <v>58</v>
      </c>
      <c r="M2" s="3" t="s">
        <v>24</v>
      </c>
    </row>
    <row r="3" spans="1:13" outlineLevel="2">
      <c r="A3" s="1">
        <v>1</v>
      </c>
      <c r="B3" s="2" t="str">
        <f>VLOOKUP(A3,企业原料采购申请表!$B$5:$I$19,2,0)</f>
        <v>空调1</v>
      </c>
      <c r="C3" s="2">
        <f>VLOOKUP(A3,企业原料采购申请表!$B$5:$I$19,4,0)</f>
        <v>19</v>
      </c>
      <c r="D3" s="2" t="str">
        <f>VLOOKUP(A3,企业原料采购申请表!$B$5:$I$19,6,0)</f>
        <v>台</v>
      </c>
      <c r="E3" s="2">
        <v>4000</v>
      </c>
      <c r="F3" s="2">
        <f>C3*E3</f>
        <v>76000</v>
      </c>
      <c r="G3" s="2">
        <v>1000100</v>
      </c>
      <c r="H3" s="4">
        <v>38658</v>
      </c>
      <c r="I3" s="2" t="s">
        <v>74</v>
      </c>
      <c r="J3" s="4">
        <v>38661</v>
      </c>
      <c r="K3" s="2">
        <v>19</v>
      </c>
      <c r="L3" s="2" t="s">
        <v>79</v>
      </c>
      <c r="M3" s="3" t="str">
        <f>VLOOKUP(A3,企业原料采购申请表!$B$5:$I$19,8,0)</f>
        <v>三菱</v>
      </c>
    </row>
    <row r="4" spans="1:13" outlineLevel="2">
      <c r="A4" s="1">
        <v>6</v>
      </c>
      <c r="B4" s="2" t="str">
        <f>VLOOKUP(A4,企业原料采购申请表!$B$5:$I$19,2,0)</f>
        <v>空调6</v>
      </c>
      <c r="C4" s="2">
        <f>VLOOKUP(A4,企业原料采购申请表!$B$5:$I$19,4,0)</f>
        <v>30</v>
      </c>
      <c r="D4" s="2" t="str">
        <f>VLOOKUP(A4,企业原料采购申请表!$B$5:$I$19,6,0)</f>
        <v>台</v>
      </c>
      <c r="E4" s="2">
        <v>2100</v>
      </c>
      <c r="F4" s="2">
        <f>C4*E4</f>
        <v>63000</v>
      </c>
      <c r="G4" s="2">
        <v>1000105</v>
      </c>
      <c r="H4" s="4">
        <v>38668</v>
      </c>
      <c r="I4" s="2" t="s">
        <v>74</v>
      </c>
      <c r="J4" s="4">
        <v>38668</v>
      </c>
      <c r="K4" s="2">
        <v>30</v>
      </c>
      <c r="L4" s="2" t="s">
        <v>79</v>
      </c>
      <c r="M4" s="3" t="str">
        <f>VLOOKUP(A4,企业原料采购申请表!$B$5:$I$19,8,0)</f>
        <v>三菱</v>
      </c>
    </row>
    <row r="5" spans="1:13" outlineLevel="2">
      <c r="A5" s="1">
        <v>9</v>
      </c>
      <c r="B5" s="2" t="str">
        <f>VLOOKUP(A5,企业原料采购申请表!$B$5:$I$19,2,0)</f>
        <v>空调9</v>
      </c>
      <c r="C5" s="2">
        <f>VLOOKUP(A5,企业原料采购申请表!$B$5:$I$19,4,0)</f>
        <v>30</v>
      </c>
      <c r="D5" s="2" t="str">
        <f>VLOOKUP(A5,企业原料采购申请表!$B$5:$I$19,6,0)</f>
        <v>台</v>
      </c>
      <c r="E5" s="2">
        <v>1500</v>
      </c>
      <c r="F5" s="2">
        <f>C5*E5</f>
        <v>45000</v>
      </c>
      <c r="G5" s="2">
        <v>1000108</v>
      </c>
      <c r="H5" s="4">
        <v>38673</v>
      </c>
      <c r="I5" s="2" t="s">
        <v>74</v>
      </c>
      <c r="J5" s="4">
        <v>38674</v>
      </c>
      <c r="K5" s="2">
        <v>30</v>
      </c>
      <c r="L5" s="2" t="s">
        <v>79</v>
      </c>
      <c r="M5" s="3" t="str">
        <f>VLOOKUP(A5,企业原料采购申请表!$B$5:$I$19,8,0)</f>
        <v>三菱</v>
      </c>
    </row>
    <row r="6" spans="1:13" outlineLevel="1">
      <c r="A6" s="1"/>
      <c r="B6" s="2"/>
      <c r="C6" s="2"/>
      <c r="D6" s="2"/>
      <c r="E6" s="2"/>
      <c r="F6" s="2"/>
      <c r="G6" s="2"/>
      <c r="H6" s="4"/>
      <c r="I6" s="9" t="s">
        <v>42</v>
      </c>
      <c r="J6" s="4"/>
      <c r="K6" s="2"/>
      <c r="L6" s="2"/>
      <c r="M6" s="3">
        <f>SUBTOTAL(3,M3:M5)</f>
        <v>3</v>
      </c>
    </row>
    <row r="7" spans="1:13" outlineLevel="2">
      <c r="A7" s="1">
        <v>2</v>
      </c>
      <c r="B7" s="2" t="str">
        <f>VLOOKUP(A7,企业原料采购申请表!$B$5:$I$19,2,0)</f>
        <v>空调2</v>
      </c>
      <c r="C7" s="2">
        <f>VLOOKUP(A7,企业原料采购申请表!$B$5:$I$19,4,0)</f>
        <v>30</v>
      </c>
      <c r="D7" s="2" t="str">
        <f>VLOOKUP(A7,企业原料采购申请表!$B$5:$I$19,6,0)</f>
        <v>台</v>
      </c>
      <c r="E7" s="2">
        <v>2500</v>
      </c>
      <c r="F7" s="2">
        <f>C7*E7</f>
        <v>75000</v>
      </c>
      <c r="G7" s="2">
        <v>1000101</v>
      </c>
      <c r="H7" s="4">
        <v>38661</v>
      </c>
      <c r="I7" s="2" t="s">
        <v>75</v>
      </c>
      <c r="J7" s="4">
        <v>38663</v>
      </c>
      <c r="K7" s="2">
        <v>30</v>
      </c>
      <c r="L7" s="2" t="s">
        <v>79</v>
      </c>
      <c r="M7" s="3" t="str">
        <f>VLOOKUP(A7,企业原料采购申请表!$B$5:$I$19,8,0)</f>
        <v>海尔</v>
      </c>
    </row>
    <row r="8" spans="1:13" outlineLevel="2">
      <c r="A8" s="1">
        <v>11</v>
      </c>
      <c r="B8" s="2" t="str">
        <f>VLOOKUP(A8,企业原料采购申请表!$B$5:$I$19,2,0)</f>
        <v>空调11</v>
      </c>
      <c r="C8" s="2">
        <f>VLOOKUP(A8,企业原料采购申请表!$B$5:$I$19,4,0)</f>
        <v>19</v>
      </c>
      <c r="D8" s="2" t="str">
        <f>VLOOKUP(A8,企业原料采购申请表!$B$5:$I$19,6,0)</f>
        <v>台</v>
      </c>
      <c r="E8" s="2">
        <v>1900</v>
      </c>
      <c r="F8" s="2">
        <f>C8*E8</f>
        <v>36100</v>
      </c>
      <c r="G8" s="2">
        <v>1000110</v>
      </c>
      <c r="H8" s="4">
        <v>38680</v>
      </c>
      <c r="I8" s="2" t="s">
        <v>75</v>
      </c>
      <c r="J8" s="4">
        <v>38681</v>
      </c>
      <c r="K8" s="2">
        <v>19</v>
      </c>
      <c r="L8" s="2" t="s">
        <v>79</v>
      </c>
      <c r="M8" s="3" t="str">
        <f>VLOOKUP(A8,企业原料采购申请表!$B$5:$I$19,8,0)</f>
        <v>海尔</v>
      </c>
    </row>
    <row r="9" spans="1:13" outlineLevel="2">
      <c r="A9" s="1">
        <v>15</v>
      </c>
      <c r="B9" s="2" t="str">
        <f>VLOOKUP(A9,企业原料采购申请表!$B$5:$I$19,2,0)</f>
        <v>空调15</v>
      </c>
      <c r="C9" s="2">
        <f>VLOOKUP(A9,企业原料采购申请表!$B$5:$I$19,4,0)</f>
        <v>30</v>
      </c>
      <c r="D9" s="2" t="str">
        <f>VLOOKUP(A9,企业原料采购申请表!$B$5:$I$19,6,0)</f>
        <v>台</v>
      </c>
      <c r="E9" s="2">
        <v>2800</v>
      </c>
      <c r="F9" s="2">
        <f>C9*E9</f>
        <v>84000</v>
      </c>
      <c r="G9" s="2">
        <v>1000114</v>
      </c>
      <c r="H9" s="4">
        <v>38685</v>
      </c>
      <c r="I9" s="2" t="s">
        <v>75</v>
      </c>
      <c r="J9" s="4">
        <v>38686</v>
      </c>
      <c r="K9" s="2">
        <v>30</v>
      </c>
      <c r="L9" s="2" t="s">
        <v>79</v>
      </c>
      <c r="M9" s="3" t="str">
        <f>VLOOKUP(A9,企业原料采购申请表!$B$5:$I$19,8,0)</f>
        <v>海尔</v>
      </c>
    </row>
    <row r="10" spans="1:13" outlineLevel="1">
      <c r="A10" s="1"/>
      <c r="B10" s="2"/>
      <c r="C10" s="2"/>
      <c r="D10" s="2"/>
      <c r="E10" s="2"/>
      <c r="F10" s="2"/>
      <c r="G10" s="2"/>
      <c r="H10" s="4"/>
      <c r="I10" s="10" t="s">
        <v>43</v>
      </c>
      <c r="J10" s="4"/>
      <c r="K10" s="2"/>
      <c r="L10" s="2"/>
      <c r="M10" s="3">
        <f>SUBTOTAL(3,M7:M9)</f>
        <v>3</v>
      </c>
    </row>
    <row r="11" spans="1:13" outlineLevel="2">
      <c r="A11" s="1">
        <v>3</v>
      </c>
      <c r="B11" s="2" t="str">
        <f>VLOOKUP(A11,企业原料采购申请表!$B$5:$I$19,2,0)</f>
        <v>空调3</v>
      </c>
      <c r="C11" s="2">
        <f>VLOOKUP(A11,企业原料采购申请表!$B$5:$I$19,4,0)</f>
        <v>39</v>
      </c>
      <c r="D11" s="2" t="str">
        <f>VLOOKUP(A11,企业原料采购申请表!$B$5:$I$19,6,0)</f>
        <v>台</v>
      </c>
      <c r="E11" s="2">
        <v>3000</v>
      </c>
      <c r="F11" s="2">
        <f>C11*E11</f>
        <v>117000</v>
      </c>
      <c r="G11" s="2">
        <v>1000102</v>
      </c>
      <c r="H11" s="4">
        <v>38661</v>
      </c>
      <c r="I11" s="2" t="s">
        <v>37</v>
      </c>
      <c r="J11" s="4">
        <v>38360</v>
      </c>
      <c r="K11" s="2">
        <v>39</v>
      </c>
      <c r="L11" s="2" t="s">
        <v>79</v>
      </c>
      <c r="M11" s="3" t="str">
        <f>VLOOKUP(A11,企业原料采购申请表!$B$5:$I$19,8,0)</f>
        <v>日立</v>
      </c>
    </row>
    <row r="12" spans="1:13" outlineLevel="2">
      <c r="A12" s="1">
        <v>14</v>
      </c>
      <c r="B12" s="2" t="str">
        <f>VLOOKUP(A12,企业原料采购申请表!$B$5:$I$19,2,0)</f>
        <v>空调14</v>
      </c>
      <c r="C12" s="2">
        <f>VLOOKUP(A12,企业原料采购申请表!$B$5:$I$19,4,0)</f>
        <v>60</v>
      </c>
      <c r="D12" s="2" t="str">
        <f>VLOOKUP(A12,企业原料采购申请表!$B$5:$I$19,6,0)</f>
        <v>台</v>
      </c>
      <c r="E12" s="2">
        <v>3600</v>
      </c>
      <c r="F12" s="2">
        <f>C12*E12</f>
        <v>216000</v>
      </c>
      <c r="G12" s="2">
        <v>1000113</v>
      </c>
      <c r="H12" s="4">
        <v>38684</v>
      </c>
      <c r="I12" s="2" t="s">
        <v>78</v>
      </c>
      <c r="J12" s="4">
        <v>38685</v>
      </c>
      <c r="K12" s="2">
        <v>60</v>
      </c>
      <c r="L12" s="2" t="s">
        <v>79</v>
      </c>
      <c r="M12" s="3" t="str">
        <f>VLOOKUP(A12,企业原料采购申请表!$B$5:$I$19,8,0)</f>
        <v>日立</v>
      </c>
    </row>
    <row r="13" spans="1:13" outlineLevel="1">
      <c r="A13" s="1"/>
      <c r="B13" s="2"/>
      <c r="C13" s="2"/>
      <c r="D13" s="2"/>
      <c r="E13" s="2"/>
      <c r="F13" s="2"/>
      <c r="G13" s="2"/>
      <c r="H13" s="4"/>
      <c r="I13" s="10" t="s">
        <v>44</v>
      </c>
      <c r="J13" s="4"/>
      <c r="K13" s="2"/>
      <c r="L13" s="2"/>
      <c r="M13" s="3">
        <f>SUBTOTAL(3,M11:M12)</f>
        <v>2</v>
      </c>
    </row>
    <row r="14" spans="1:13" outlineLevel="2">
      <c r="A14" s="1">
        <v>4</v>
      </c>
      <c r="B14" s="2" t="str">
        <f>VLOOKUP(A14,企业原料采购申请表!$B$5:$I$19,2,0)</f>
        <v>空调4</v>
      </c>
      <c r="C14" s="2">
        <f>VLOOKUP(A14,企业原料采购申请表!$B$5:$I$19,4,0)</f>
        <v>60</v>
      </c>
      <c r="D14" s="2" t="str">
        <f>VLOOKUP(A14,企业原料采购申请表!$B$5:$I$19,6,0)</f>
        <v>台</v>
      </c>
      <c r="E14" s="2">
        <v>2000</v>
      </c>
      <c r="F14" s="2">
        <f>C14*E14</f>
        <v>120000</v>
      </c>
      <c r="G14" s="2">
        <v>1000103</v>
      </c>
      <c r="H14" s="4">
        <v>38663</v>
      </c>
      <c r="I14" s="2" t="s">
        <v>38</v>
      </c>
      <c r="J14" s="4">
        <v>38664</v>
      </c>
      <c r="K14" s="2">
        <v>60</v>
      </c>
      <c r="L14" s="2" t="s">
        <v>79</v>
      </c>
      <c r="M14" s="3" t="str">
        <f>VLOOKUP(A14,企业原料采购申请表!$B$5:$I$19,8,0)</f>
        <v>美的</v>
      </c>
    </row>
    <row r="15" spans="1:13" outlineLevel="2">
      <c r="A15" s="1">
        <v>7</v>
      </c>
      <c r="B15" s="2" t="str">
        <f>VLOOKUP(A15,企业原料采购申请表!$B$5:$I$19,2,0)</f>
        <v>空调7</v>
      </c>
      <c r="C15" s="2">
        <f>VLOOKUP(A15,企业原料采购申请表!$B$5:$I$19,4,0)</f>
        <v>39</v>
      </c>
      <c r="D15" s="2" t="str">
        <f>VLOOKUP(A15,企业原料采购申请表!$B$5:$I$19,6,0)</f>
        <v>台</v>
      </c>
      <c r="E15" s="2">
        <v>1700</v>
      </c>
      <c r="F15" s="2">
        <f>C15*E15</f>
        <v>66300</v>
      </c>
      <c r="G15" s="2">
        <v>1000106</v>
      </c>
      <c r="H15" s="4">
        <v>38669</v>
      </c>
      <c r="I15" s="2" t="s">
        <v>76</v>
      </c>
      <c r="J15" s="4">
        <v>38671</v>
      </c>
      <c r="K15" s="2">
        <v>39</v>
      </c>
      <c r="L15" s="2" t="s">
        <v>79</v>
      </c>
      <c r="M15" s="3" t="str">
        <f>VLOOKUP(A15,企业原料采购申请表!$B$5:$I$19,8,0)</f>
        <v>美的</v>
      </c>
    </row>
    <row r="16" spans="1:13" outlineLevel="2">
      <c r="A16" s="1">
        <v>12</v>
      </c>
      <c r="B16" s="2" t="str">
        <f>VLOOKUP(A16,企业原料采购申请表!$B$5:$I$19,2,0)</f>
        <v>空调12</v>
      </c>
      <c r="C16" s="2">
        <f>VLOOKUP(A16,企业原料采购申请表!$B$5:$I$19,4,0)</f>
        <v>39</v>
      </c>
      <c r="D16" s="2" t="str">
        <f>VLOOKUP(A16,企业原料采购申请表!$B$5:$I$19,6,0)</f>
        <v>台</v>
      </c>
      <c r="E16" s="2">
        <v>3000</v>
      </c>
      <c r="F16" s="2">
        <f>C16*E16</f>
        <v>117000</v>
      </c>
      <c r="G16" s="2">
        <v>1000111</v>
      </c>
      <c r="H16" s="4">
        <v>38681</v>
      </c>
      <c r="I16" s="2" t="s">
        <v>76</v>
      </c>
      <c r="J16" s="4">
        <v>38683</v>
      </c>
      <c r="K16" s="2">
        <v>39</v>
      </c>
      <c r="L16" s="2" t="s">
        <v>79</v>
      </c>
      <c r="M16" s="3" t="str">
        <f>VLOOKUP(A16,企业原料采购申请表!$B$5:$I$19,8,0)</f>
        <v>美的</v>
      </c>
    </row>
    <row r="17" spans="1:13" outlineLevel="1">
      <c r="A17" s="1"/>
      <c r="B17" s="2"/>
      <c r="C17" s="2"/>
      <c r="D17" s="2"/>
      <c r="E17" s="2"/>
      <c r="F17" s="2"/>
      <c r="G17" s="2"/>
      <c r="H17" s="4"/>
      <c r="I17" s="10" t="s">
        <v>45</v>
      </c>
      <c r="J17" s="4"/>
      <c r="K17" s="2"/>
      <c r="L17" s="2"/>
      <c r="M17" s="3">
        <f>SUBTOTAL(3,M14:M16)</f>
        <v>3</v>
      </c>
    </row>
    <row r="18" spans="1:13" outlineLevel="2">
      <c r="A18" s="1">
        <v>5</v>
      </c>
      <c r="B18" s="2" t="str">
        <f>VLOOKUP(A18,企业原料采购申请表!$B$5:$I$19,2,0)</f>
        <v>空调5</v>
      </c>
      <c r="C18" s="2">
        <f>VLOOKUP(A18,企业原料采购申请表!$B$5:$I$19,4,0)</f>
        <v>66</v>
      </c>
      <c r="D18" s="2" t="str">
        <f>VLOOKUP(A18,企业原料采购申请表!$B$5:$I$19,6,0)</f>
        <v>台</v>
      </c>
      <c r="E18" s="2">
        <v>1800</v>
      </c>
      <c r="F18" s="2">
        <f>C18*E18</f>
        <v>118800</v>
      </c>
      <c r="G18" s="2">
        <v>1000104</v>
      </c>
      <c r="H18" s="4">
        <v>38666</v>
      </c>
      <c r="I18" s="2" t="s">
        <v>39</v>
      </c>
      <c r="J18" s="4">
        <v>38668</v>
      </c>
      <c r="K18" s="2">
        <v>66</v>
      </c>
      <c r="L18" s="2" t="s">
        <v>79</v>
      </c>
      <c r="M18" s="3" t="str">
        <f>VLOOKUP(A18,企业原料采购申请表!$B$5:$I$19,8,0)</f>
        <v>奥柯玛</v>
      </c>
    </row>
    <row r="19" spans="1:13" outlineLevel="2">
      <c r="A19" s="1">
        <v>8</v>
      </c>
      <c r="B19" s="2" t="str">
        <f>VLOOKUP(A19,企业原料采购申请表!$B$5:$I$19,2,0)</f>
        <v>空调8</v>
      </c>
      <c r="C19" s="2">
        <f>VLOOKUP(A19,企业原料采购申请表!$B$5:$I$19,4,0)</f>
        <v>30</v>
      </c>
      <c r="D19" s="2" t="str">
        <f>VLOOKUP(A19,企业原料采购申请表!$B$5:$I$19,6,0)</f>
        <v>台</v>
      </c>
      <c r="E19" s="2">
        <v>1000</v>
      </c>
      <c r="F19" s="2">
        <f>C19*E19</f>
        <v>30000</v>
      </c>
      <c r="G19" s="2">
        <v>1000107</v>
      </c>
      <c r="H19" s="4">
        <v>38671</v>
      </c>
      <c r="I19" s="2" t="s">
        <v>77</v>
      </c>
      <c r="J19" s="4">
        <v>38672</v>
      </c>
      <c r="K19" s="2">
        <v>30</v>
      </c>
      <c r="L19" s="2" t="s">
        <v>79</v>
      </c>
      <c r="M19" s="3" t="str">
        <f>VLOOKUP(A19,企业原料采购申请表!$B$5:$I$19,8,0)</f>
        <v>奥柯玛</v>
      </c>
    </row>
    <row r="20" spans="1:13" outlineLevel="2">
      <c r="A20" s="1">
        <v>13</v>
      </c>
      <c r="B20" s="2" t="str">
        <f>VLOOKUP(A20,企业原料采购申请表!$B$5:$I$19,2,0)</f>
        <v>空调13</v>
      </c>
      <c r="C20" s="2">
        <f>VLOOKUP(A20,企业原料采购申请表!$B$5:$I$19,4,0)</f>
        <v>19</v>
      </c>
      <c r="D20" s="2" t="str">
        <f>VLOOKUP(A20,企业原料采购申请表!$B$5:$I$19,6,0)</f>
        <v>台</v>
      </c>
      <c r="E20" s="2">
        <v>2500</v>
      </c>
      <c r="F20" s="2">
        <f>C20*E20</f>
        <v>47500</v>
      </c>
      <c r="G20" s="2">
        <v>1000112</v>
      </c>
      <c r="H20" s="4">
        <v>38683</v>
      </c>
      <c r="I20" s="2" t="s">
        <v>77</v>
      </c>
      <c r="J20" s="4">
        <v>38684</v>
      </c>
      <c r="K20" s="2">
        <v>19</v>
      </c>
      <c r="L20" s="2" t="s">
        <v>79</v>
      </c>
      <c r="M20" s="3" t="str">
        <f>VLOOKUP(A20,企业原料采购申请表!$B$5:$I$19,8,0)</f>
        <v>奥柯玛</v>
      </c>
    </row>
    <row r="21" spans="1:13" outlineLevel="1">
      <c r="A21" s="11"/>
      <c r="B21" s="12"/>
      <c r="C21" s="12"/>
      <c r="D21" s="12"/>
      <c r="E21" s="12"/>
      <c r="F21" s="12"/>
      <c r="G21" s="12"/>
      <c r="H21" s="13"/>
      <c r="I21" s="15" t="s">
        <v>46</v>
      </c>
      <c r="J21" s="13"/>
      <c r="K21" s="12"/>
      <c r="L21" s="12"/>
      <c r="M21" s="14">
        <f>SUBTOTAL(3,M18:M20)</f>
        <v>3</v>
      </c>
    </row>
    <row r="22" spans="1:13" ht="16.2" outlineLevel="2" thickBot="1">
      <c r="A22" s="5">
        <v>10</v>
      </c>
      <c r="B22" s="6" t="str">
        <f>VLOOKUP(A22,企业原料采购申请表!$B$5:$I$19,2,0)</f>
        <v>空调10</v>
      </c>
      <c r="C22" s="6">
        <f>VLOOKUP(A22,企业原料采购申请表!$B$5:$I$19,4,0)</f>
        <v>49</v>
      </c>
      <c r="D22" s="6" t="str">
        <f>VLOOKUP(A22,企业原料采购申请表!$B$5:$I$19,6,0)</f>
        <v>台</v>
      </c>
      <c r="E22" s="6">
        <v>2200</v>
      </c>
      <c r="F22" s="6">
        <f>C22*E22</f>
        <v>107800</v>
      </c>
      <c r="G22" s="6">
        <v>1000109</v>
      </c>
      <c r="H22" s="7">
        <v>38676</v>
      </c>
      <c r="I22" s="6" t="s">
        <v>40</v>
      </c>
      <c r="J22" s="7">
        <v>38677</v>
      </c>
      <c r="K22" s="6">
        <v>49</v>
      </c>
      <c r="L22" s="6" t="s">
        <v>79</v>
      </c>
      <c r="M22" s="8" t="str">
        <f>VLOOKUP(A22,企业原料采购申请表!$B$5:$I$19,8,0)</f>
        <v>奥克斯</v>
      </c>
    </row>
    <row r="23" spans="1:13" ht="16.2" outlineLevel="1" thickTop="1">
      <c r="A23" s="16"/>
      <c r="B23" s="16"/>
      <c r="C23" s="16"/>
      <c r="D23" s="16"/>
      <c r="E23" s="16"/>
      <c r="F23" s="16"/>
      <c r="G23" s="16"/>
      <c r="H23" s="17"/>
      <c r="I23" s="18" t="s">
        <v>47</v>
      </c>
      <c r="J23" s="17"/>
      <c r="K23" s="16"/>
      <c r="L23" s="16"/>
      <c r="M23" s="16">
        <f>SUBTOTAL(3,M22:M22)</f>
        <v>1</v>
      </c>
    </row>
    <row r="24" spans="1:13">
      <c r="A24" s="16"/>
      <c r="B24" s="16"/>
      <c r="C24" s="16"/>
      <c r="D24" s="16"/>
      <c r="E24" s="16"/>
      <c r="F24" s="16"/>
      <c r="G24" s="16"/>
      <c r="H24" s="17"/>
      <c r="I24" s="18" t="s">
        <v>48</v>
      </c>
      <c r="J24" s="17"/>
      <c r="K24" s="16"/>
      <c r="L24" s="16"/>
      <c r="M24" s="16">
        <f>SUBTOTAL(3,M3:M22)</f>
        <v>15</v>
      </c>
    </row>
  </sheetData>
  <sheetProtection password="CA9C" sheet="1" objects="1" scenarios="1"/>
  <mergeCells count="1">
    <mergeCell ref="A1:M1"/>
  </mergeCells>
  <phoneticPr fontId="2" type="noConversion"/>
  <pageMargins left="0.75" right="0.75" top="1" bottom="1" header="0.5" footer="0.5"/>
  <headerFooter alignWithMargins="0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工作表</vt:lpstr>
      </vt:variant>
      <vt:variant>
        <vt:i4>2</vt:i4>
      </vt:variant>
    </vt:vector>
  </HeadingPairs>
  <TitlesOfParts>
    <vt:vector size="2" baseType="lpstr">
      <vt:lpstr>企业原料采购申请表</vt:lpstr>
      <vt:lpstr>企业原料采购登记表</vt:lpstr>
    </vt:vector>
  </TitlesOfParts>
  <Company>shenlong</Company>
  <LinksUpToDate>false</LinksUpToDate>
  <SharedDoc>false</SharedDoc>
  <HyperlinksChanged>false</HyperlinksChanged>
  <AppVersion>12.0000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cyd</dc:creator>
  <cp:lastModifiedBy>syq</cp:lastModifiedBy>
  <dcterms:created xsi:type="dcterms:W3CDTF">2005-10-30T06:10:24Z</dcterms:created>
  <dcterms:modified xsi:type="dcterms:W3CDTF">2008-01-19T02:42:49Z</dcterms:modified>
</cp:coreProperties>
</file>