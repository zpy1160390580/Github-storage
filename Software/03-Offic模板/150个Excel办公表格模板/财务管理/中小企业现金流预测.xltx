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20" windowWidth="12120" windowHeight="8820"/>
  </bookViews>
  <sheets>
    <sheet name="现金流量" sheetId="1" r:id="rId1"/>
    <sheet name="现金流量表" sheetId="2" r:id="rId2"/>
  </sheets>
  <definedNames>
    <definedName name="Cash_beginning">现金流量!$B$7</definedName>
    <definedName name="Cash_minimum">现金流量!$B$4</definedName>
    <definedName name="Company_name">现金流量!$A$2</definedName>
    <definedName name="_xlnm.Print_Titles" localSheetId="0">现金流量!$6:$6</definedName>
    <definedName name="Start_date">现金流量!$B$3</definedName>
  </definedNames>
  <calcPr calcId="145621" fullCalcOnLoad="1"/>
</workbook>
</file>

<file path=xl/calcChain.xml><?xml version="1.0" encoding="utf-8"?>
<calcChain xmlns="http://schemas.openxmlformats.org/spreadsheetml/2006/main">
  <c r="D37" i="2" l="1"/>
  <c r="C6" i="1"/>
  <c r="B17" i="1"/>
  <c r="B52" i="1"/>
  <c r="C7" i="1" s="1"/>
  <c r="C17" i="1" s="1"/>
  <c r="C16" i="1"/>
  <c r="C45" i="1"/>
  <c r="C51" i="1" s="1"/>
  <c r="D16" i="1"/>
  <c r="D45" i="1"/>
  <c r="D51" i="1" s="1"/>
  <c r="E16" i="1"/>
  <c r="E45" i="1"/>
  <c r="E51" i="1" s="1"/>
  <c r="F16" i="1"/>
  <c r="F45" i="1"/>
  <c r="F51" i="1" s="1"/>
  <c r="G16" i="1"/>
  <c r="G45" i="1"/>
  <c r="G51" i="1" s="1"/>
  <c r="H16" i="1"/>
  <c r="H45" i="1"/>
  <c r="H51" i="1" s="1"/>
  <c r="I16" i="1"/>
  <c r="I45" i="1"/>
  <c r="I51" i="1" s="1"/>
  <c r="J16" i="1"/>
  <c r="J45" i="1"/>
  <c r="J51" i="1" s="1"/>
  <c r="K16" i="1"/>
  <c r="K45" i="1"/>
  <c r="K51" i="1" s="1"/>
  <c r="L16" i="1"/>
  <c r="L45" i="1"/>
  <c r="L51" i="1" s="1"/>
  <c r="M16" i="1"/>
  <c r="M45" i="1"/>
  <c r="M51" i="1" s="1"/>
  <c r="N16" i="1"/>
  <c r="N45" i="1"/>
  <c r="N51" i="1" s="1"/>
  <c r="O46" i="1"/>
  <c r="O47" i="1"/>
  <c r="O48" i="1"/>
  <c r="O49" i="1"/>
  <c r="O50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0" i="1"/>
  <c r="O11" i="1"/>
  <c r="O16" i="1" s="1"/>
  <c r="O12" i="1"/>
  <c r="O13" i="1"/>
  <c r="O14" i="1"/>
  <c r="O15" i="1"/>
  <c r="D6" i="1"/>
  <c r="E6" i="1" s="1"/>
  <c r="F6" i="1" s="1"/>
  <c r="G6" i="1" s="1"/>
  <c r="H6" i="1" s="1"/>
  <c r="I6" i="1" s="1"/>
  <c r="J6" i="1" s="1"/>
  <c r="K6" i="1" s="1"/>
  <c r="L6" i="1" s="1"/>
  <c r="M6" i="1" s="1"/>
  <c r="N6" i="1" s="1"/>
  <c r="N4" i="1"/>
  <c r="M4" i="1"/>
  <c r="L4" i="1"/>
  <c r="K4" i="1"/>
  <c r="J4" i="1"/>
  <c r="I4" i="1"/>
  <c r="H4" i="1"/>
  <c r="G4" i="1"/>
  <c r="F4" i="1"/>
  <c r="E4" i="1"/>
  <c r="D4" i="1"/>
  <c r="C4" i="1"/>
  <c r="C52" i="1" l="1"/>
  <c r="D7" i="1" s="1"/>
  <c r="D17" i="1" s="1"/>
  <c r="D52" i="1" s="1"/>
  <c r="E7" i="1" s="1"/>
  <c r="E17" i="1" s="1"/>
  <c r="E52" i="1" s="1"/>
  <c r="F7" i="1" s="1"/>
  <c r="F17" i="1" s="1"/>
  <c r="F52" i="1" s="1"/>
  <c r="G7" i="1" s="1"/>
  <c r="G17" i="1" s="1"/>
  <c r="G52" i="1" s="1"/>
  <c r="H7" i="1" s="1"/>
  <c r="H17" i="1" s="1"/>
  <c r="H52" i="1" s="1"/>
  <c r="I7" i="1" s="1"/>
  <c r="I17" i="1" s="1"/>
  <c r="I52" i="1" s="1"/>
  <c r="J7" i="1" s="1"/>
  <c r="J17" i="1" s="1"/>
  <c r="J52" i="1" s="1"/>
  <c r="K7" i="1" s="1"/>
  <c r="K17" i="1" s="1"/>
  <c r="K52" i="1" s="1"/>
  <c r="L7" i="1" s="1"/>
  <c r="L17" i="1" s="1"/>
  <c r="L52" i="1" s="1"/>
  <c r="M7" i="1" s="1"/>
  <c r="M17" i="1" s="1"/>
  <c r="M52" i="1" s="1"/>
  <c r="N7" i="1" s="1"/>
  <c r="N17" i="1" s="1"/>
  <c r="N52" i="1" s="1"/>
  <c r="O45" i="1"/>
  <c r="O51" i="1" s="1"/>
</calcChain>
</file>

<file path=xl/sharedStrings.xml><?xml version="1.0" encoding="utf-8"?>
<sst xmlns="http://schemas.openxmlformats.org/spreadsheetml/2006/main" count="57" uniqueCount="54">
  <si>
    <t>小型企业现金流量预测</t>
  </si>
  <si>
    <t>起始日期</t>
  </si>
  <si>
    <t>现金余额警报最小金额</t>
  </si>
  <si>
    <t>期初</t>
  </si>
  <si>
    <t>合计</t>
  </si>
  <si>
    <t>留存现金（月初）</t>
  </si>
  <si>
    <t>现金收入</t>
  </si>
  <si>
    <t>现销</t>
  </si>
  <si>
    <t>收回的应收帐款</t>
  </si>
  <si>
    <t>利息、其它收入</t>
  </si>
  <si>
    <t>贷款收入</t>
  </si>
  <si>
    <t>所有者出资</t>
  </si>
  <si>
    <t>现金收入合计</t>
  </si>
  <si>
    <t>可用现金合计</t>
  </si>
  <si>
    <t>现金支出</t>
  </si>
  <si>
    <t>广告费</t>
  </si>
  <si>
    <t>佣金和手续费</t>
  </si>
  <si>
    <t>员工福利项目</t>
  </si>
  <si>
    <t>保险（非健康险）</t>
  </si>
  <si>
    <t>利息费用</t>
  </si>
  <si>
    <t>COGS 中的物料和耗材</t>
  </si>
  <si>
    <t>餐费和招待费</t>
  </si>
  <si>
    <t>抵押贷款利息</t>
  </si>
  <si>
    <t>办公费用</t>
  </si>
  <si>
    <t>其它利息费用</t>
  </si>
  <si>
    <t>养老金和利润分享计划</t>
  </si>
  <si>
    <t>用于转售的采购费用</t>
  </si>
  <si>
    <t>租赁费用</t>
  </si>
  <si>
    <t>租赁费用：车辆、设备</t>
  </si>
  <si>
    <t>维修和维护</t>
  </si>
  <si>
    <t>COGS 中不包含的耗材</t>
  </si>
  <si>
    <t>税费和许可费</t>
  </si>
  <si>
    <t>差旅费</t>
  </si>
  <si>
    <t>水电费等支出</t>
  </si>
  <si>
    <t>工资（扣除员工信贷）</t>
  </si>
  <si>
    <t>其它费用</t>
  </si>
  <si>
    <t>杂项</t>
  </si>
  <si>
    <t>小计</t>
  </si>
  <si>
    <t>贷款本金付款</t>
  </si>
  <si>
    <t>资产采购费用</t>
  </si>
  <si>
    <t>其它起动成本</t>
  </si>
  <si>
    <t>准备金和/或第三者代管资金</t>
  </si>
  <si>
    <t>所有者撤资</t>
  </si>
  <si>
    <t>现金支出合计</t>
  </si>
  <si>
    <t>留存现金（月末）</t>
  </si>
  <si>
    <t>其它营业数据</t>
  </si>
  <si>
    <t>应收帐款余额</t>
  </si>
  <si>
    <t>呆帐余额</t>
  </si>
  <si>
    <t>现有库存</t>
  </si>
  <si>
    <t>应付帐款余额</t>
  </si>
  <si>
    <t>折旧</t>
  </si>
  <si>
    <t>返利与折让</t>
    <phoneticPr fontId="1" type="noConversion"/>
  </si>
  <si>
    <t>劳务费</t>
    <phoneticPr fontId="1" type="noConversion"/>
  </si>
  <si>
    <t>销售额（人民币）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</si>
</sst>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￥&quot;#,##0.00;&quot;￥&quot;\-#,##0.00"/>
    <numFmt numFmtId="181" formatCode="mmmm"/>
    <numFmt numFmtId="183" formatCode="m&quot;月&quot;d&quot;日&quot;;@"/>
    <numFmt numFmtId="186" formatCode="_(&quot;￥&quot;* #,##0_);_(&quot;￥&quot;* \(#,##0\);_(&quot;￥&quot;* &quot;-&quot;??_);_(@_)"/>
  </numFmts>
  <fonts count="13" x14ac:knownFonts="1">
    <font>
      <sz val="12"/>
      <name val="宋体"/>
      <charset val="134"/>
    </font>
    <font>
      <sz val="8"/>
      <name val="Arial"/>
      <family val="2"/>
    </font>
    <font>
      <b/>
      <sz val="14"/>
      <color indexed="18"/>
      <name val="Tahoma"/>
      <family val="2"/>
    </font>
    <font>
      <sz val="10"/>
      <color indexed="8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color indexed="18"/>
      <name val="Arial Black"/>
      <family val="2"/>
    </font>
    <font>
      <b/>
      <sz val="14"/>
      <color indexed="18"/>
      <name val="宋体"/>
      <family val="3"/>
      <charset val="134"/>
    </font>
    <font>
      <sz val="10"/>
      <color indexed="8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lightUp"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0" applyFont="1" applyAlignment="1"/>
    <xf numFmtId="0" fontId="3" fillId="0" borderId="0" xfId="0" applyFont="1" applyAlignment="1"/>
    <xf numFmtId="3" fontId="4" fillId="0" borderId="0" xfId="0" applyNumberFormat="1" applyFont="1" applyAlignment="1"/>
    <xf numFmtId="0" fontId="5" fillId="0" borderId="0" xfId="0" applyFont="1" applyAlignment="1"/>
    <xf numFmtId="0" fontId="6" fillId="0" borderId="0" xfId="0" applyFont="1" applyAlignment="1">
      <alignment wrapText="1"/>
    </xf>
    <xf numFmtId="3" fontId="1" fillId="0" borderId="1" xfId="0" applyNumberFormat="1" applyFont="1" applyBorder="1" applyAlignment="1" applyProtection="1">
      <protection locked="0"/>
    </xf>
    <xf numFmtId="3" fontId="1" fillId="2" borderId="2" xfId="0" applyNumberFormat="1" applyFont="1" applyFill="1" applyBorder="1" applyAlignment="1"/>
    <xf numFmtId="3" fontId="1" fillId="3" borderId="1" xfId="0" applyNumberFormat="1" applyFont="1" applyFill="1" applyBorder="1" applyAlignment="1"/>
    <xf numFmtId="0" fontId="6" fillId="0" borderId="3" xfId="0" applyFont="1" applyBorder="1" applyAlignment="1">
      <alignment wrapText="1"/>
    </xf>
    <xf numFmtId="3" fontId="1" fillId="0" borderId="4" xfId="0" applyNumberFormat="1" applyFont="1" applyBorder="1" applyAlignment="1"/>
    <xf numFmtId="3" fontId="1" fillId="0" borderId="5" xfId="0" applyNumberFormat="1" applyFont="1" applyBorder="1" applyAlignment="1"/>
    <xf numFmtId="3" fontId="1" fillId="0" borderId="6" xfId="0" applyNumberFormat="1" applyFont="1" applyBorder="1" applyAlignment="1"/>
    <xf numFmtId="3" fontId="1" fillId="0" borderId="7" xfId="0" applyNumberFormat="1" applyFont="1" applyBorder="1" applyAlignment="1"/>
    <xf numFmtId="3" fontId="1" fillId="0" borderId="7" xfId="0" applyNumberFormat="1" applyFont="1" applyBorder="1" applyAlignment="1" applyProtection="1">
      <protection locked="0"/>
    </xf>
    <xf numFmtId="3" fontId="1" fillId="2" borderId="7" xfId="0" applyNumberFormat="1" applyFont="1" applyFill="1" applyBorder="1" applyAlignment="1"/>
    <xf numFmtId="3" fontId="1" fillId="2" borderId="8" xfId="0" applyNumberFormat="1" applyFont="1" applyFill="1" applyBorder="1" applyAlignment="1"/>
    <xf numFmtId="3" fontId="1" fillId="2" borderId="1" xfId="0" applyNumberFormat="1" applyFont="1" applyFill="1" applyBorder="1" applyAlignment="1"/>
    <xf numFmtId="3" fontId="1" fillId="0" borderId="9" xfId="0" applyNumberFormat="1" applyFont="1" applyBorder="1" applyAlignment="1"/>
    <xf numFmtId="3" fontId="1" fillId="0" borderId="8" xfId="0" applyNumberFormat="1" applyFont="1" applyBorder="1" applyAlignment="1"/>
    <xf numFmtId="3" fontId="1" fillId="3" borderId="2" xfId="0" applyNumberFormat="1" applyFont="1" applyFill="1" applyBorder="1" applyAlignment="1"/>
    <xf numFmtId="0" fontId="1" fillId="0" borderId="9" xfId="0" applyFont="1" applyBorder="1" applyAlignment="1"/>
    <xf numFmtId="0" fontId="1" fillId="0" borderId="4" xfId="0" applyFont="1" applyBorder="1" applyAlignment="1"/>
    <xf numFmtId="0" fontId="1" fillId="0" borderId="5" xfId="0" applyFont="1" applyBorder="1" applyAlignment="1"/>
    <xf numFmtId="3" fontId="1" fillId="4" borderId="7" xfId="0" applyNumberFormat="1" applyFont="1" applyFill="1" applyBorder="1" applyAlignment="1"/>
    <xf numFmtId="0" fontId="7" fillId="0" borderId="0" xfId="0" applyFont="1" applyAlignment="1"/>
    <xf numFmtId="3" fontId="1" fillId="0" borderId="0" xfId="0" applyNumberFormat="1" applyFont="1" applyAlignment="1"/>
    <xf numFmtId="183" fontId="1" fillId="0" borderId="10" xfId="0" applyNumberFormat="1" applyFont="1" applyBorder="1" applyAlignment="1" applyProtection="1">
      <alignment horizontal="right" wrapText="1"/>
      <protection locked="0"/>
    </xf>
    <xf numFmtId="7" fontId="1" fillId="0" borderId="11" xfId="0" applyNumberFormat="1" applyFont="1" applyBorder="1" applyAlignment="1" applyProtection="1">
      <protection locked="0"/>
    </xf>
    <xf numFmtId="186" fontId="5" fillId="0" borderId="0" xfId="0" applyNumberFormat="1" applyFont="1" applyAlignment="1"/>
    <xf numFmtId="0" fontId="9" fillId="0" borderId="0" xfId="0" applyFont="1" applyAlignment="1"/>
    <xf numFmtId="0" fontId="10" fillId="0" borderId="12" xfId="0" applyFont="1" applyBorder="1" applyAlignment="1">
      <alignment wrapText="1"/>
    </xf>
    <xf numFmtId="0" fontId="10" fillId="0" borderId="13" xfId="0" applyFont="1" applyBorder="1" applyAlignment="1">
      <alignment wrapText="1"/>
    </xf>
    <xf numFmtId="0" fontId="11" fillId="0" borderId="11" xfId="0" applyFont="1" applyBorder="1" applyAlignment="1"/>
    <xf numFmtId="0" fontId="10" fillId="0" borderId="11" xfId="0" applyFont="1" applyBorder="1" applyAlignment="1">
      <alignment wrapText="1"/>
    </xf>
    <xf numFmtId="0" fontId="10" fillId="0" borderId="2" xfId="0" applyFont="1" applyBorder="1" applyAlignment="1">
      <alignment wrapText="1"/>
    </xf>
    <xf numFmtId="0" fontId="10" fillId="0" borderId="14" xfId="0" applyFont="1" applyBorder="1" applyAlignment="1">
      <alignment wrapText="1"/>
    </xf>
    <xf numFmtId="0" fontId="10" fillId="0" borderId="3" xfId="0" applyFont="1" applyBorder="1" applyAlignment="1">
      <alignment wrapText="1"/>
    </xf>
    <xf numFmtId="0" fontId="11" fillId="0" borderId="15" xfId="0" applyFont="1" applyBorder="1" applyAlignment="1"/>
    <xf numFmtId="0" fontId="11" fillId="0" borderId="15" xfId="0" applyFont="1" applyBorder="1" applyAlignment="1">
      <alignment wrapText="1"/>
    </xf>
    <xf numFmtId="0" fontId="11" fillId="0" borderId="10" xfId="0" applyFont="1" applyBorder="1" applyAlignment="1"/>
    <xf numFmtId="0" fontId="11" fillId="0" borderId="11" xfId="0" applyFont="1" applyBorder="1" applyAlignment="1">
      <alignment wrapText="1"/>
    </xf>
    <xf numFmtId="0" fontId="10" fillId="0" borderId="0" xfId="0" applyFont="1" applyAlignment="1">
      <alignment wrapText="1"/>
    </xf>
    <xf numFmtId="0" fontId="10" fillId="0" borderId="3" xfId="0" applyFont="1" applyBorder="1" applyAlignment="1"/>
    <xf numFmtId="0" fontId="12" fillId="5" borderId="10" xfId="0" applyFont="1" applyFill="1" applyBorder="1" applyAlignment="1">
      <alignment horizontal="center" wrapText="1"/>
    </xf>
    <xf numFmtId="183" fontId="12" fillId="5" borderId="5" xfId="0" applyNumberFormat="1" applyFont="1" applyFill="1" applyBorder="1" applyAlignment="1">
      <alignment horizontal="center" wrapText="1"/>
    </xf>
    <xf numFmtId="181" fontId="12" fillId="5" borderId="5" xfId="0" applyNumberFormat="1" applyFont="1" applyFill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</cellXfs>
  <cellStyles count="1">
    <cellStyle name="常规" xfId="0" builtinId="0"/>
  </cellStyles>
  <dxfs count="1">
    <dxf>
      <font>
        <i val="0"/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DDDDDD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CCFF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80"/>
                </a:solidFill>
                <a:latin typeface="宋体"/>
                <a:ea typeface="宋体"/>
                <a:cs typeface="宋体"/>
              </a:defRPr>
            </a:pPr>
            <a:r>
              <a:rPr lang="zh-CN" altLang="en-US" sz="1600" b="0" i="0" u="none" strike="noStrike" baseline="0">
                <a:solidFill>
                  <a:srgbClr val="000080"/>
                </a:solidFill>
                <a:latin typeface="宋体"/>
                <a:ea typeface="宋体"/>
              </a:rPr>
              <a:t>现金流量预测</a:t>
            </a:r>
            <a:endParaRPr lang="zh-CN" altLang="en-US" sz="1600" b="0" i="0" u="none" strike="noStrike" baseline="0">
              <a:solidFill>
                <a:srgbClr val="000080"/>
              </a:solidFill>
              <a:latin typeface="Arial Black"/>
              <a:ea typeface="宋体"/>
            </a:endParaRPr>
          </a:p>
          <a:p>
            <a:pPr>
              <a:defRPr sz="1600" b="0" i="0" u="none" strike="noStrike" baseline="0">
                <a:solidFill>
                  <a:srgbClr val="000080"/>
                </a:solidFill>
                <a:latin typeface="宋体"/>
                <a:ea typeface="宋体"/>
                <a:cs typeface="宋体"/>
              </a:defRPr>
            </a:pPr>
            <a:r>
              <a:rPr lang="zh-CN" altLang="en-US" sz="1600" b="0" i="0" u="none" strike="noStrike" baseline="0">
                <a:solidFill>
                  <a:srgbClr val="000080"/>
                </a:solidFill>
                <a:latin typeface="Arial Black"/>
                <a:ea typeface="宋体"/>
              </a:rPr>
              <a:t>&lt;</a:t>
            </a:r>
            <a:r>
              <a:rPr lang="zh-CN" altLang="en-US" sz="1600" b="0" i="0" u="none" strike="noStrike" baseline="0">
                <a:solidFill>
                  <a:srgbClr val="000080"/>
                </a:solidFill>
                <a:latin typeface="宋体"/>
                <a:ea typeface="宋体"/>
              </a:rPr>
              <a:t>公司名称</a:t>
            </a:r>
            <a:r>
              <a:rPr lang="zh-CN" altLang="en-US" sz="1600" b="0" i="0" u="none" strike="noStrike" baseline="0">
                <a:solidFill>
                  <a:srgbClr val="000080"/>
                </a:solidFill>
                <a:latin typeface="Arial Black"/>
                <a:ea typeface="宋体"/>
              </a:rPr>
              <a:t>&gt;</a:t>
            </a:r>
            <a:endParaRPr lang="zh-CN" altLang="en-US"/>
          </a:p>
        </c:rich>
      </c:tx>
      <c:layout>
        <c:manualLayout>
          <c:xMode val="edge"/>
          <c:yMode val="edge"/>
          <c:x val="0.43292725892329909"/>
          <c:y val="2.922755741127348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943147928524287E-2"/>
          <c:y val="0.20876826722338204"/>
          <c:w val="0.7052852527999286"/>
          <c:h val="0.69728601252609601"/>
        </c:manualLayout>
      </c:layout>
      <c:barChart>
        <c:barDir val="col"/>
        <c:grouping val="clustered"/>
        <c:varyColors val="0"/>
        <c:ser>
          <c:idx val="0"/>
          <c:order val="0"/>
          <c:tx>
            <c:v>现金流量预测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现金流量!$B$6:$N$6</c:f>
              <c:strCache>
                <c:ptCount val="13"/>
                <c:pt idx="0">
                  <c:v>期初</c:v>
                </c:pt>
                <c:pt idx="1">
                  <c:v>1月0日</c:v>
                </c:pt>
                <c:pt idx="2">
                  <c:v>2月1日</c:v>
                </c:pt>
                <c:pt idx="3">
                  <c:v>3月1日</c:v>
                </c:pt>
                <c:pt idx="4">
                  <c:v>4月1日</c:v>
                </c:pt>
                <c:pt idx="5">
                  <c:v>5月1日</c:v>
                </c:pt>
                <c:pt idx="6">
                  <c:v>6月1日</c:v>
                </c:pt>
                <c:pt idx="7">
                  <c:v>7月1日</c:v>
                </c:pt>
                <c:pt idx="8">
                  <c:v>8月1日</c:v>
                </c:pt>
                <c:pt idx="9">
                  <c:v>9月1日</c:v>
                </c:pt>
                <c:pt idx="10">
                  <c:v>10月1日</c:v>
                </c:pt>
                <c:pt idx="11">
                  <c:v>11月1日</c:v>
                </c:pt>
                <c:pt idx="12">
                  <c:v>12月1日</c:v>
                </c:pt>
              </c:strCache>
            </c:strRef>
          </c:cat>
          <c:val>
            <c:numRef>
              <c:f>现金流量!$B$52:$N$52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454528"/>
        <c:axId val="204540928"/>
      </c:barChart>
      <c:lineChart>
        <c:grouping val="standard"/>
        <c:varyColors val="0"/>
        <c:ser>
          <c:idx val="1"/>
          <c:order val="1"/>
          <c:tx>
            <c:v>留存现金最小金额警报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square"/>
            <c:size val="6"/>
            <c:spPr>
              <a:noFill/>
              <a:ln w="9525">
                <a:noFill/>
              </a:ln>
            </c:spPr>
          </c:marker>
          <c:cat>
            <c:strRef>
              <c:f>现金流量!$B$6:$N$6</c:f>
              <c:strCache>
                <c:ptCount val="13"/>
                <c:pt idx="0">
                  <c:v>期初</c:v>
                </c:pt>
                <c:pt idx="1">
                  <c:v>1月0日</c:v>
                </c:pt>
                <c:pt idx="2">
                  <c:v>2月1日</c:v>
                </c:pt>
                <c:pt idx="3">
                  <c:v>3月1日</c:v>
                </c:pt>
                <c:pt idx="4">
                  <c:v>4月1日</c:v>
                </c:pt>
                <c:pt idx="5">
                  <c:v>5月1日</c:v>
                </c:pt>
                <c:pt idx="6">
                  <c:v>6月1日</c:v>
                </c:pt>
                <c:pt idx="7">
                  <c:v>7月1日</c:v>
                </c:pt>
                <c:pt idx="8">
                  <c:v>8月1日</c:v>
                </c:pt>
                <c:pt idx="9">
                  <c:v>9月1日</c:v>
                </c:pt>
                <c:pt idx="10">
                  <c:v>10月1日</c:v>
                </c:pt>
                <c:pt idx="11">
                  <c:v>11月1日</c:v>
                </c:pt>
                <c:pt idx="12">
                  <c:v>12月1日</c:v>
                </c:pt>
              </c:strCache>
            </c:strRef>
          </c:cat>
          <c:val>
            <c:numRef>
              <c:f>现金流量!$B$4:$N$4</c:f>
              <c:numCache>
                <c:formatCode>#,##0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454528"/>
        <c:axId val="204540928"/>
      </c:lineChart>
      <c:catAx>
        <c:axId val="202454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8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/>
                  <a:t>期间</a:t>
                </a:r>
              </a:p>
            </c:rich>
          </c:tx>
          <c:layout>
            <c:manualLayout>
              <c:xMode val="edge"/>
              <c:yMode val="edge"/>
              <c:x val="0.39126055090485951"/>
              <c:y val="0.943632567849686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04540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4540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8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/>
                  <a:t>留存现金</a:t>
                </a:r>
              </a:p>
            </c:rich>
          </c:tx>
          <c:layout>
            <c:manualLayout>
              <c:xMode val="edge"/>
              <c:yMode val="edge"/>
              <c:x val="1.6260178738903251E-2"/>
              <c:y val="0.480167014613778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24545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92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</c:legendEntry>
      <c:legendEntry>
        <c:idx val="1"/>
        <c:txPr>
          <a:bodyPr/>
          <a:lstStyle/>
          <a:p>
            <a:pPr>
              <a:defRPr sz="92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</c:legendEntry>
      <c:layout>
        <c:manualLayout>
          <c:xMode val="edge"/>
          <c:yMode val="edge"/>
          <c:x val="0.77947231829617458"/>
          <c:y val="0.46346555323590816"/>
          <c:w val="0.17276439910084704"/>
          <c:h val="7.72442588726513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1</xdr:row>
      <xdr:rowOff>104775</xdr:rowOff>
    </xdr:from>
    <xdr:to>
      <xdr:col>12</xdr:col>
      <xdr:colOff>0</xdr:colOff>
      <xdr:row>26</xdr:row>
      <xdr:rowOff>142875</xdr:rowOff>
    </xdr:to>
    <xdr:graphicFrame macro="">
      <xdr:nvGraphicFramePr>
        <xdr:cNvPr id="4098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60"/>
  <sheetViews>
    <sheetView showGridLines="0" tabSelected="1" zoomScale="75" workbookViewId="0">
      <selection sqref="A1:O1"/>
    </sheetView>
  </sheetViews>
  <sheetFormatPr defaultRowHeight="14.25" x14ac:dyDescent="0.15"/>
  <cols>
    <col min="1" max="1" width="19" style="1" customWidth="1"/>
    <col min="2" max="2" width="12.375" customWidth="1"/>
    <col min="3" max="15" width="9.875" customWidth="1"/>
  </cols>
  <sheetData>
    <row r="1" spans="1:16" ht="22.5" customHeight="1" x14ac:dyDescent="0.25">
      <c r="A1" s="48" t="s">
        <v>0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2"/>
    </row>
    <row r="2" spans="1:16" ht="18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2"/>
    </row>
    <row r="3" spans="1:16" x14ac:dyDescent="0.2">
      <c r="A3" s="31" t="s">
        <v>1</v>
      </c>
      <c r="B3" s="28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">
      <c r="A4" s="31" t="s">
        <v>2</v>
      </c>
      <c r="B4" s="29"/>
      <c r="C4" s="4">
        <f t="shared" ref="C4:N4" si="0">Cash_minimum</f>
        <v>0</v>
      </c>
      <c r="D4" s="4">
        <f t="shared" si="0"/>
        <v>0</v>
      </c>
      <c r="E4" s="4">
        <f t="shared" si="0"/>
        <v>0</v>
      </c>
      <c r="F4" s="4">
        <f t="shared" si="0"/>
        <v>0</v>
      </c>
      <c r="G4" s="4">
        <f t="shared" si="0"/>
        <v>0</v>
      </c>
      <c r="H4" s="4">
        <f t="shared" si="0"/>
        <v>0</v>
      </c>
      <c r="I4" s="4">
        <f t="shared" si="0"/>
        <v>0</v>
      </c>
      <c r="J4" s="4">
        <f t="shared" si="0"/>
        <v>0</v>
      </c>
      <c r="K4" s="4">
        <f t="shared" si="0"/>
        <v>0</v>
      </c>
      <c r="L4" s="4">
        <f t="shared" si="0"/>
        <v>0</v>
      </c>
      <c r="M4" s="4">
        <f t="shared" si="0"/>
        <v>0</v>
      </c>
      <c r="N4" s="4">
        <f t="shared" si="0"/>
        <v>0</v>
      </c>
      <c r="O4" s="2"/>
      <c r="P4" s="2"/>
    </row>
    <row r="5" spans="1:16" x14ac:dyDescent="0.2">
      <c r="A5" s="3"/>
      <c r="B5" s="2"/>
      <c r="C5" s="2"/>
      <c r="D5" s="2"/>
      <c r="E5" s="2"/>
      <c r="F5" s="2"/>
      <c r="G5" s="5"/>
      <c r="H5" s="2"/>
      <c r="I5" s="2"/>
      <c r="J5" s="2"/>
      <c r="K5" s="2"/>
      <c r="L5" s="2"/>
      <c r="M5" s="2"/>
      <c r="N5" s="2"/>
      <c r="O5" s="2"/>
      <c r="P5" s="2"/>
    </row>
    <row r="6" spans="1:16" x14ac:dyDescent="0.2">
      <c r="A6" s="6"/>
      <c r="B6" s="45" t="s">
        <v>3</v>
      </c>
      <c r="C6" s="46">
        <f>Start_date</f>
        <v>0</v>
      </c>
      <c r="D6" s="46">
        <f t="shared" ref="D6:N6" si="1">DATE(YEAR(C6),MONTH(C6)+1,1)</f>
        <v>32</v>
      </c>
      <c r="E6" s="46">
        <f t="shared" si="1"/>
        <v>61</v>
      </c>
      <c r="F6" s="46">
        <f t="shared" si="1"/>
        <v>92</v>
      </c>
      <c r="G6" s="46">
        <f t="shared" si="1"/>
        <v>122</v>
      </c>
      <c r="H6" s="46">
        <f t="shared" si="1"/>
        <v>153</v>
      </c>
      <c r="I6" s="46">
        <f t="shared" si="1"/>
        <v>183</v>
      </c>
      <c r="J6" s="46">
        <f t="shared" si="1"/>
        <v>214</v>
      </c>
      <c r="K6" s="46">
        <f t="shared" si="1"/>
        <v>245</v>
      </c>
      <c r="L6" s="46">
        <f t="shared" si="1"/>
        <v>275</v>
      </c>
      <c r="M6" s="46">
        <f t="shared" si="1"/>
        <v>306</v>
      </c>
      <c r="N6" s="46">
        <f t="shared" si="1"/>
        <v>336</v>
      </c>
      <c r="O6" s="47" t="s">
        <v>4</v>
      </c>
      <c r="P6" s="2"/>
    </row>
    <row r="7" spans="1:16" x14ac:dyDescent="0.2">
      <c r="A7" s="32" t="s">
        <v>5</v>
      </c>
      <c r="B7" s="7"/>
      <c r="C7" s="8">
        <f t="shared" ref="C7:N7" si="2">B52</f>
        <v>0</v>
      </c>
      <c r="D7" s="8">
        <f t="shared" si="2"/>
        <v>0</v>
      </c>
      <c r="E7" s="8">
        <f t="shared" si="2"/>
        <v>0</v>
      </c>
      <c r="F7" s="8">
        <f t="shared" si="2"/>
        <v>0</v>
      </c>
      <c r="G7" s="8">
        <f t="shared" si="2"/>
        <v>0</v>
      </c>
      <c r="H7" s="8">
        <f t="shared" si="2"/>
        <v>0</v>
      </c>
      <c r="I7" s="8">
        <f t="shared" si="2"/>
        <v>0</v>
      </c>
      <c r="J7" s="8">
        <f t="shared" si="2"/>
        <v>0</v>
      </c>
      <c r="K7" s="8">
        <f t="shared" si="2"/>
        <v>0</v>
      </c>
      <c r="L7" s="8">
        <f t="shared" si="2"/>
        <v>0</v>
      </c>
      <c r="M7" s="8">
        <f t="shared" si="2"/>
        <v>0</v>
      </c>
      <c r="N7" s="8">
        <f t="shared" si="2"/>
        <v>0</v>
      </c>
      <c r="O7" s="9"/>
      <c r="P7" s="2"/>
    </row>
    <row r="8" spans="1:16" x14ac:dyDescent="0.2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2"/>
      <c r="P8" s="2"/>
    </row>
    <row r="9" spans="1:16" x14ac:dyDescent="0.2">
      <c r="A9" s="33" t="s">
        <v>6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4"/>
      <c r="P9" s="2"/>
    </row>
    <row r="10" spans="1:16" x14ac:dyDescent="0.2">
      <c r="A10" s="34" t="s">
        <v>7</v>
      </c>
      <c r="B10" s="9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6">
        <f t="shared" ref="O10:O15" si="3">SUM(C10:N10)</f>
        <v>0</v>
      </c>
      <c r="P10" s="2"/>
    </row>
    <row r="11" spans="1:16" x14ac:dyDescent="0.2">
      <c r="A11" s="34" t="s">
        <v>51</v>
      </c>
      <c r="B11" s="9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6">
        <f t="shared" si="3"/>
        <v>0</v>
      </c>
      <c r="P11" s="2"/>
    </row>
    <row r="12" spans="1:16" x14ac:dyDescent="0.2">
      <c r="A12" s="34" t="s">
        <v>8</v>
      </c>
      <c r="B12" s="9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6">
        <f t="shared" si="3"/>
        <v>0</v>
      </c>
      <c r="P12" s="2"/>
    </row>
    <row r="13" spans="1:16" x14ac:dyDescent="0.2">
      <c r="A13" s="34" t="s">
        <v>9</v>
      </c>
      <c r="B13" s="9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6">
        <f t="shared" si="3"/>
        <v>0</v>
      </c>
      <c r="P13" s="2"/>
    </row>
    <row r="14" spans="1:16" x14ac:dyDescent="0.2">
      <c r="A14" s="34" t="s">
        <v>10</v>
      </c>
      <c r="B14" s="9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6">
        <f t="shared" si="3"/>
        <v>0</v>
      </c>
      <c r="P14" s="2"/>
    </row>
    <row r="15" spans="1:16" x14ac:dyDescent="0.2">
      <c r="A15" s="34" t="s">
        <v>11</v>
      </c>
      <c r="B15" s="9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6">
        <f t="shared" si="3"/>
        <v>0</v>
      </c>
      <c r="P15" s="2"/>
    </row>
    <row r="16" spans="1:16" x14ac:dyDescent="0.2">
      <c r="A16" s="35" t="s">
        <v>12</v>
      </c>
      <c r="B16" s="9"/>
      <c r="C16" s="16">
        <f t="shared" ref="C16:N16" si="4">SUM(C10,C12:C15,(C11*-1))</f>
        <v>0</v>
      </c>
      <c r="D16" s="16">
        <f t="shared" si="4"/>
        <v>0</v>
      </c>
      <c r="E16" s="16">
        <f t="shared" si="4"/>
        <v>0</v>
      </c>
      <c r="F16" s="16">
        <f t="shared" si="4"/>
        <v>0</v>
      </c>
      <c r="G16" s="16">
        <f t="shared" si="4"/>
        <v>0</v>
      </c>
      <c r="H16" s="16">
        <f t="shared" si="4"/>
        <v>0</v>
      </c>
      <c r="I16" s="16">
        <f t="shared" si="4"/>
        <v>0</v>
      </c>
      <c r="J16" s="16">
        <f t="shared" si="4"/>
        <v>0</v>
      </c>
      <c r="K16" s="16">
        <f t="shared" si="4"/>
        <v>0</v>
      </c>
      <c r="L16" s="16">
        <f t="shared" si="4"/>
        <v>0</v>
      </c>
      <c r="M16" s="16">
        <f t="shared" si="4"/>
        <v>0</v>
      </c>
      <c r="N16" s="16">
        <f t="shared" si="4"/>
        <v>0</v>
      </c>
      <c r="O16" s="16">
        <f>SUM(O10:O15)</f>
        <v>0</v>
      </c>
      <c r="P16" s="2"/>
    </row>
    <row r="17" spans="1:16" x14ac:dyDescent="0.2">
      <c r="A17" s="36" t="s">
        <v>13</v>
      </c>
      <c r="B17" s="17">
        <f t="shared" ref="B17:N17" si="5">(B7+B16)</f>
        <v>0</v>
      </c>
      <c r="C17" s="18">
        <f t="shared" si="5"/>
        <v>0</v>
      </c>
      <c r="D17" s="18">
        <f t="shared" si="5"/>
        <v>0</v>
      </c>
      <c r="E17" s="18">
        <f t="shared" si="5"/>
        <v>0</v>
      </c>
      <c r="F17" s="18">
        <f t="shared" si="5"/>
        <v>0</v>
      </c>
      <c r="G17" s="18">
        <f t="shared" si="5"/>
        <v>0</v>
      </c>
      <c r="H17" s="18">
        <f t="shared" si="5"/>
        <v>0</v>
      </c>
      <c r="I17" s="18">
        <f t="shared" si="5"/>
        <v>0</v>
      </c>
      <c r="J17" s="18">
        <f t="shared" si="5"/>
        <v>0</v>
      </c>
      <c r="K17" s="18">
        <f t="shared" si="5"/>
        <v>0</v>
      </c>
      <c r="L17" s="18">
        <f t="shared" si="5"/>
        <v>0</v>
      </c>
      <c r="M17" s="18">
        <f t="shared" si="5"/>
        <v>0</v>
      </c>
      <c r="N17" s="18">
        <f t="shared" si="5"/>
        <v>0</v>
      </c>
      <c r="O17" s="9"/>
      <c r="P17" s="2"/>
    </row>
    <row r="18" spans="1:16" x14ac:dyDescent="0.2">
      <c r="A18" s="37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0"/>
      <c r="P18" s="2"/>
    </row>
    <row r="19" spans="1:16" x14ac:dyDescent="0.2">
      <c r="A19" s="38" t="s">
        <v>14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2"/>
      <c r="P19" s="2"/>
    </row>
    <row r="20" spans="1:16" x14ac:dyDescent="0.2">
      <c r="A20" s="39" t="s">
        <v>15</v>
      </c>
      <c r="B20" s="21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6">
        <f t="shared" ref="O20:O50" si="6">SUM(C20:N20)</f>
        <v>0</v>
      </c>
      <c r="P20" s="2"/>
    </row>
    <row r="21" spans="1:16" x14ac:dyDescent="0.2">
      <c r="A21" s="39" t="s">
        <v>16</v>
      </c>
      <c r="B21" s="21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6">
        <f t="shared" si="6"/>
        <v>0</v>
      </c>
      <c r="P21" s="2"/>
    </row>
    <row r="22" spans="1:16" x14ac:dyDescent="0.2">
      <c r="A22" s="39" t="s">
        <v>52</v>
      </c>
      <c r="B22" s="21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6">
        <f t="shared" si="6"/>
        <v>0</v>
      </c>
      <c r="P22" s="2"/>
    </row>
    <row r="23" spans="1:16" x14ac:dyDescent="0.2">
      <c r="A23" s="39" t="s">
        <v>17</v>
      </c>
      <c r="B23" s="21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6">
        <f t="shared" si="6"/>
        <v>0</v>
      </c>
      <c r="P23" s="2"/>
    </row>
    <row r="24" spans="1:16" x14ac:dyDescent="0.2">
      <c r="A24" s="39" t="s">
        <v>18</v>
      </c>
      <c r="B24" s="21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6">
        <f t="shared" si="6"/>
        <v>0</v>
      </c>
      <c r="P24" s="2"/>
    </row>
    <row r="25" spans="1:16" x14ac:dyDescent="0.2">
      <c r="A25" s="40" t="s">
        <v>19</v>
      </c>
      <c r="B25" s="21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6">
        <f t="shared" si="6"/>
        <v>0</v>
      </c>
      <c r="P25" s="2"/>
    </row>
    <row r="26" spans="1:16" x14ac:dyDescent="0.2">
      <c r="A26" s="39" t="s">
        <v>20</v>
      </c>
      <c r="B26" s="21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6">
        <f t="shared" si="6"/>
        <v>0</v>
      </c>
      <c r="P26" s="2"/>
    </row>
    <row r="27" spans="1:16" x14ac:dyDescent="0.2">
      <c r="A27" s="39" t="s">
        <v>21</v>
      </c>
      <c r="B27" s="21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6">
        <f t="shared" si="6"/>
        <v>0</v>
      </c>
      <c r="P27" s="2"/>
    </row>
    <row r="28" spans="1:16" x14ac:dyDescent="0.2">
      <c r="A28" s="39" t="s">
        <v>22</v>
      </c>
      <c r="B28" s="21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6">
        <f t="shared" si="6"/>
        <v>0</v>
      </c>
      <c r="P28" s="2"/>
    </row>
    <row r="29" spans="1:16" x14ac:dyDescent="0.2">
      <c r="A29" s="39" t="s">
        <v>23</v>
      </c>
      <c r="B29" s="21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6">
        <f t="shared" si="6"/>
        <v>0</v>
      </c>
      <c r="P29" s="2"/>
    </row>
    <row r="30" spans="1:16" x14ac:dyDescent="0.2">
      <c r="A30" s="39" t="s">
        <v>24</v>
      </c>
      <c r="B30" s="21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6">
        <f t="shared" si="6"/>
        <v>0</v>
      </c>
      <c r="P30" s="2"/>
    </row>
    <row r="31" spans="1:16" x14ac:dyDescent="0.2">
      <c r="A31" s="39" t="s">
        <v>25</v>
      </c>
      <c r="B31" s="21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6">
        <f t="shared" si="6"/>
        <v>0</v>
      </c>
      <c r="P31" s="2"/>
    </row>
    <row r="32" spans="1:16" x14ac:dyDescent="0.2">
      <c r="A32" s="39" t="s">
        <v>26</v>
      </c>
      <c r="B32" s="21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6">
        <f t="shared" si="6"/>
        <v>0</v>
      </c>
      <c r="P32" s="2"/>
    </row>
    <row r="33" spans="1:16" x14ac:dyDescent="0.2">
      <c r="A33" s="39" t="s">
        <v>27</v>
      </c>
      <c r="B33" s="21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6">
        <f t="shared" si="6"/>
        <v>0</v>
      </c>
      <c r="P33" s="2"/>
    </row>
    <row r="34" spans="1:16" x14ac:dyDescent="0.2">
      <c r="A34" s="39" t="s">
        <v>28</v>
      </c>
      <c r="B34" s="21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6">
        <f t="shared" si="6"/>
        <v>0</v>
      </c>
      <c r="P34" s="2"/>
    </row>
    <row r="35" spans="1:16" x14ac:dyDescent="0.2">
      <c r="A35" s="39" t="s">
        <v>29</v>
      </c>
      <c r="B35" s="21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6">
        <f t="shared" si="6"/>
        <v>0</v>
      </c>
      <c r="P35" s="2"/>
    </row>
    <row r="36" spans="1:16" x14ac:dyDescent="0.2">
      <c r="A36" s="39" t="s">
        <v>30</v>
      </c>
      <c r="B36" s="21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6">
        <f t="shared" si="6"/>
        <v>0</v>
      </c>
      <c r="P36" s="2"/>
    </row>
    <row r="37" spans="1:16" x14ac:dyDescent="0.2">
      <c r="A37" s="39" t="s">
        <v>31</v>
      </c>
      <c r="B37" s="21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6">
        <f t="shared" si="6"/>
        <v>0</v>
      </c>
      <c r="P37" s="2"/>
    </row>
    <row r="38" spans="1:16" x14ac:dyDescent="0.2">
      <c r="A38" s="39" t="s">
        <v>32</v>
      </c>
      <c r="B38" s="21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6">
        <f t="shared" si="6"/>
        <v>0</v>
      </c>
      <c r="P38" s="2"/>
    </row>
    <row r="39" spans="1:16" x14ac:dyDescent="0.2">
      <c r="A39" s="39" t="s">
        <v>33</v>
      </c>
      <c r="B39" s="21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6">
        <f t="shared" si="6"/>
        <v>0</v>
      </c>
      <c r="P39" s="2"/>
    </row>
    <row r="40" spans="1:16" x14ac:dyDescent="0.2">
      <c r="A40" s="41" t="s">
        <v>34</v>
      </c>
      <c r="B40" s="9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6">
        <f t="shared" si="6"/>
        <v>0</v>
      </c>
      <c r="P40" s="2"/>
    </row>
    <row r="41" spans="1:16" x14ac:dyDescent="0.2">
      <c r="A41" s="42" t="s">
        <v>35</v>
      </c>
      <c r="B41" s="9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6">
        <f t="shared" si="6"/>
        <v>0</v>
      </c>
      <c r="P41" s="2"/>
    </row>
    <row r="42" spans="1:16" x14ac:dyDescent="0.2">
      <c r="A42" s="42" t="s">
        <v>35</v>
      </c>
      <c r="B42" s="9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6">
        <f t="shared" si="6"/>
        <v>0</v>
      </c>
      <c r="P42" s="2"/>
    </row>
    <row r="43" spans="1:16" x14ac:dyDescent="0.2">
      <c r="A43" s="42" t="s">
        <v>35</v>
      </c>
      <c r="B43" s="9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6">
        <f t="shared" si="6"/>
        <v>0</v>
      </c>
      <c r="P43" s="2"/>
    </row>
    <row r="44" spans="1:16" x14ac:dyDescent="0.2">
      <c r="A44" s="42" t="s">
        <v>36</v>
      </c>
      <c r="B44" s="9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6">
        <f t="shared" si="6"/>
        <v>0</v>
      </c>
      <c r="P44" s="2"/>
    </row>
    <row r="45" spans="1:16" x14ac:dyDescent="0.2">
      <c r="A45" s="35" t="s">
        <v>37</v>
      </c>
      <c r="B45" s="9"/>
      <c r="C45" s="16">
        <f t="shared" ref="C45:N45" si="7">SUM(C20:C44)</f>
        <v>0</v>
      </c>
      <c r="D45" s="16">
        <f t="shared" si="7"/>
        <v>0</v>
      </c>
      <c r="E45" s="16">
        <f t="shared" si="7"/>
        <v>0</v>
      </c>
      <c r="F45" s="16">
        <f t="shared" si="7"/>
        <v>0</v>
      </c>
      <c r="G45" s="16">
        <f t="shared" si="7"/>
        <v>0</v>
      </c>
      <c r="H45" s="16">
        <f t="shared" si="7"/>
        <v>0</v>
      </c>
      <c r="I45" s="16">
        <f t="shared" si="7"/>
        <v>0</v>
      </c>
      <c r="J45" s="16">
        <f t="shared" si="7"/>
        <v>0</v>
      </c>
      <c r="K45" s="16">
        <f t="shared" si="7"/>
        <v>0</v>
      </c>
      <c r="L45" s="16">
        <f t="shared" si="7"/>
        <v>0</v>
      </c>
      <c r="M45" s="16">
        <f t="shared" si="7"/>
        <v>0</v>
      </c>
      <c r="N45" s="16">
        <f t="shared" si="7"/>
        <v>0</v>
      </c>
      <c r="O45" s="16">
        <f t="shared" si="6"/>
        <v>0</v>
      </c>
      <c r="P45" s="2"/>
    </row>
    <row r="46" spans="1:16" x14ac:dyDescent="0.2">
      <c r="A46" s="42" t="s">
        <v>38</v>
      </c>
      <c r="B46" s="9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6">
        <f t="shared" si="6"/>
        <v>0</v>
      </c>
      <c r="P46" s="2"/>
    </row>
    <row r="47" spans="1:16" x14ac:dyDescent="0.2">
      <c r="A47" s="42" t="s">
        <v>39</v>
      </c>
      <c r="B47" s="9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6">
        <f t="shared" si="6"/>
        <v>0</v>
      </c>
      <c r="P47" s="2"/>
    </row>
    <row r="48" spans="1:16" x14ac:dyDescent="0.2">
      <c r="A48" s="42" t="s">
        <v>40</v>
      </c>
      <c r="B48" s="9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6">
        <f t="shared" si="6"/>
        <v>0</v>
      </c>
      <c r="P48" s="2"/>
    </row>
    <row r="49" spans="1:16" ht="23.25" x14ac:dyDescent="0.2">
      <c r="A49" s="42" t="s">
        <v>41</v>
      </c>
      <c r="B49" s="9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6">
        <f t="shared" si="6"/>
        <v>0</v>
      </c>
      <c r="P49" s="2"/>
    </row>
    <row r="50" spans="1:16" x14ac:dyDescent="0.2">
      <c r="A50" s="42" t="s">
        <v>42</v>
      </c>
      <c r="B50" s="9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6">
        <f t="shared" si="6"/>
        <v>0</v>
      </c>
      <c r="P50" s="2"/>
    </row>
    <row r="51" spans="1:16" x14ac:dyDescent="0.2">
      <c r="A51" s="35" t="s">
        <v>43</v>
      </c>
      <c r="B51" s="9"/>
      <c r="C51" s="16">
        <f t="shared" ref="C51:N51" si="8">C45-SUM(C46:C50)</f>
        <v>0</v>
      </c>
      <c r="D51" s="16">
        <f t="shared" si="8"/>
        <v>0</v>
      </c>
      <c r="E51" s="16">
        <f t="shared" si="8"/>
        <v>0</v>
      </c>
      <c r="F51" s="16">
        <f t="shared" si="8"/>
        <v>0</v>
      </c>
      <c r="G51" s="16">
        <f t="shared" si="8"/>
        <v>0</v>
      </c>
      <c r="H51" s="16">
        <f t="shared" si="8"/>
        <v>0</v>
      </c>
      <c r="I51" s="16">
        <f t="shared" si="8"/>
        <v>0</v>
      </c>
      <c r="J51" s="16">
        <f t="shared" si="8"/>
        <v>0</v>
      </c>
      <c r="K51" s="16">
        <f t="shared" si="8"/>
        <v>0</v>
      </c>
      <c r="L51" s="16">
        <f t="shared" si="8"/>
        <v>0</v>
      </c>
      <c r="M51" s="16">
        <f t="shared" si="8"/>
        <v>0</v>
      </c>
      <c r="N51" s="16">
        <f t="shared" si="8"/>
        <v>0</v>
      </c>
      <c r="O51" s="16">
        <f>SUM(O45:O50)</f>
        <v>0</v>
      </c>
      <c r="P51" s="2"/>
    </row>
    <row r="52" spans="1:16" x14ac:dyDescent="0.2">
      <c r="A52" s="35" t="s">
        <v>44</v>
      </c>
      <c r="B52" s="17">
        <f t="shared" ref="B52:N52" si="9">(B17-B51)</f>
        <v>0</v>
      </c>
      <c r="C52" s="18">
        <f t="shared" si="9"/>
        <v>0</v>
      </c>
      <c r="D52" s="18">
        <f t="shared" si="9"/>
        <v>0</v>
      </c>
      <c r="E52" s="18">
        <f t="shared" si="9"/>
        <v>0</v>
      </c>
      <c r="F52" s="18">
        <f t="shared" si="9"/>
        <v>0</v>
      </c>
      <c r="G52" s="18">
        <f t="shared" si="9"/>
        <v>0</v>
      </c>
      <c r="H52" s="18">
        <f t="shared" si="9"/>
        <v>0</v>
      </c>
      <c r="I52" s="18">
        <f t="shared" si="9"/>
        <v>0</v>
      </c>
      <c r="J52" s="18">
        <f t="shared" si="9"/>
        <v>0</v>
      </c>
      <c r="K52" s="18">
        <f t="shared" si="9"/>
        <v>0</v>
      </c>
      <c r="L52" s="18">
        <f t="shared" si="9"/>
        <v>0</v>
      </c>
      <c r="M52" s="18">
        <f t="shared" si="9"/>
        <v>0</v>
      </c>
      <c r="N52" s="18">
        <f t="shared" si="9"/>
        <v>0</v>
      </c>
      <c r="O52" s="9"/>
      <c r="P52" s="2"/>
    </row>
    <row r="53" spans="1:16" x14ac:dyDescent="0.2">
      <c r="A53" s="43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"/>
    </row>
    <row r="54" spans="1:16" x14ac:dyDescent="0.2">
      <c r="A54" s="44" t="s">
        <v>45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4"/>
      <c r="P54" s="2"/>
    </row>
    <row r="55" spans="1:16" x14ac:dyDescent="0.2">
      <c r="A55" s="42" t="s">
        <v>53</v>
      </c>
      <c r="B55" s="2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5"/>
      <c r="P55" s="2"/>
    </row>
    <row r="56" spans="1:16" x14ac:dyDescent="0.2">
      <c r="A56" s="42" t="s">
        <v>46</v>
      </c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5"/>
      <c r="P56" s="2"/>
    </row>
    <row r="57" spans="1:16" x14ac:dyDescent="0.2">
      <c r="A57" s="42" t="s">
        <v>47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5"/>
      <c r="P57" s="2"/>
    </row>
    <row r="58" spans="1:16" x14ac:dyDescent="0.2">
      <c r="A58" s="42" t="s">
        <v>48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5"/>
      <c r="P58" s="2"/>
    </row>
    <row r="59" spans="1:16" x14ac:dyDescent="0.2">
      <c r="A59" s="42" t="s">
        <v>49</v>
      </c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5"/>
      <c r="P59" s="2"/>
    </row>
    <row r="60" spans="1:16" x14ac:dyDescent="0.2">
      <c r="A60" s="42" t="s">
        <v>50</v>
      </c>
      <c r="B60" s="2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5"/>
      <c r="P60" s="2"/>
    </row>
  </sheetData>
  <sheetProtection insertColumns="0" insertRows="0"/>
  <mergeCells count="2">
    <mergeCell ref="A1:O1"/>
    <mergeCell ref="A2:O2"/>
  </mergeCells>
  <phoneticPr fontId="1" type="noConversion"/>
  <conditionalFormatting sqref="B7:N7">
    <cfRule type="cellIs" dxfId="0" priority="1" stopIfTrue="1" operator="lessThanOrEqual">
      <formula>$B$4</formula>
    </cfRule>
  </conditionalFormatting>
  <dataValidations count="10">
    <dataValidation type="decimal" allowBlank="1" showInputMessage="1" sqref="O7:O9 B53:N60 B5 B7:B15 O4:O5 C25:N25 C12:N15 C8:N10 B18:B50 C37:N50 C27:N35 C18:N23 C4:N6">
      <formula1>-10000000</formula1>
      <formula2>10000000</formula2>
    </dataValidation>
    <dataValidation type="decimal" operator="lessThanOrEqual" allowBlank="1" showInputMessage="1" showErrorMessage="1" error="请输入一个大于零的数字。" sqref="B4 O10:O15 O18:O50 O53:O60">
      <formula1>10000000</formula1>
    </dataValidation>
    <dataValidation operator="greaterThanOrEqual" allowBlank="1" showInputMessage="1" showErrorMessage="1" error="请输入一个大于零的数字。" sqref="B6 O6"/>
    <dataValidation type="decimal" operator="lessThanOrEqual" allowBlank="1" showInputMessage="1" showErrorMessage="1" sqref="B16:O17 B51:O52">
      <formula1>10000000</formula1>
    </dataValidation>
    <dataValidation type="date" allowBlank="1" showInputMessage="1" showErrorMessage="1" error="请输入一个有效日期。" sqref="B3">
      <formula1>1</formula1>
      <formula2>73415</formula2>
    </dataValidation>
    <dataValidation type="decimal" operator="lessThanOrEqual" allowBlank="1" showInputMessage="1" sqref="C7:N7">
      <formula1>10000000</formula1>
    </dataValidation>
    <dataValidation type="decimal" allowBlank="1" showInputMessage="1" prompt="输入以正数表示的退回与折让。" sqref="C11:N11">
      <formula1>-10000000</formula1>
      <formula2>10000000</formula2>
    </dataValidation>
    <dataValidation type="decimal" allowBlank="1" showInputMessage="1" prompt="输入销货成本 (COGS) 中包含的物料与耗材。" sqref="C26:N26">
      <formula1>-10000000</formula1>
      <formula2>10000000</formula2>
    </dataValidation>
    <dataValidation type="decimal" allowBlank="1" showInputMessage="1" prompt="输入销货成本 (COGS) 中不包含的耗材。" sqref="C36:N36">
      <formula1>-10000000</formula1>
      <formula2>10000000</formula2>
    </dataValidation>
    <dataValidation type="decimal" allowBlank="1" showInputMessage="1" prompt="输入保险费（如责任险和火险）。 " sqref="C24:N24">
      <formula1>-10000000</formula1>
      <formula2>10000000</formula2>
    </dataValidation>
  </dataValidations>
  <pageMargins left="0" right="0" top="0.5" bottom="0.25" header="0" footer="0"/>
  <pageSetup scale="7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8"/>
  <sheetViews>
    <sheetView topLeftCell="B1" workbookViewId="0">
      <selection activeCell="G36" sqref="G36"/>
    </sheetView>
  </sheetViews>
  <sheetFormatPr defaultRowHeight="14.25" x14ac:dyDescent="0.15"/>
  <cols>
    <col min="2" max="2" width="30.125" customWidth="1"/>
    <col min="4" max="4" width="13.375" customWidth="1"/>
  </cols>
  <sheetData>
    <row r="1" spans="1:17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ht="15" x14ac:dyDescent="0.3">
      <c r="A37" s="2"/>
      <c r="B37" s="26" t="s">
        <v>2</v>
      </c>
      <c r="C37" s="26"/>
      <c r="D37" s="30">
        <f>[0]!Cash_minimum</f>
        <v>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x14ac:dyDescent="0.2">
      <c r="A38" s="2"/>
      <c r="B38" s="3"/>
      <c r="C38" s="27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</sheetData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现金流量</vt:lpstr>
      <vt:lpstr>现金流量表</vt:lpstr>
      <vt:lpstr>Cash_beginning</vt:lpstr>
      <vt:lpstr>Cash_minimum</vt:lpstr>
      <vt:lpstr>Company_name</vt:lpstr>
      <vt:lpstr>现金流量!Print_Titles</vt:lpstr>
      <vt:lpstr>Start_date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2004-01-23T23:54:33Z</cp:lastPrinted>
  <dcterms:created xsi:type="dcterms:W3CDTF">2001-02-13T23:13:55Z</dcterms:created>
  <dcterms:modified xsi:type="dcterms:W3CDTF">2012-06-27T06:24:03Z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TC011132362052</vt:lpwstr>
  </property>
</Properties>
</file>