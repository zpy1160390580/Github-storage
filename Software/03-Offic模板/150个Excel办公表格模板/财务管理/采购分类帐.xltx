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930" yWindow="285" windowWidth="12390" windowHeight="9000"/>
  </bookViews>
  <sheets>
    <sheet name="帐目总分类帐（采购分类帐）" sheetId="7" r:id="rId1"/>
    <sheet name="摘要一览" sheetId="4" r:id="rId2"/>
    <sheet name="使用方法" sheetId="9" r:id="rId3"/>
  </sheets>
  <calcPr calcId="145621"/>
</workbook>
</file>

<file path=xl/calcChain.xml><?xml version="1.0" encoding="utf-8"?>
<calcChain xmlns="http://schemas.openxmlformats.org/spreadsheetml/2006/main">
  <c r="I10" i="9" l="1"/>
  <c r="I9" i="9"/>
  <c r="D9" i="9"/>
  <c r="I8" i="9"/>
  <c r="D8" i="9"/>
  <c r="I7" i="9"/>
  <c r="D7" i="9"/>
  <c r="I6" i="9"/>
  <c r="D6" i="9"/>
  <c r="J7" i="9"/>
  <c r="L7" i="9"/>
  <c r="J8" i="9"/>
  <c r="L8" i="9"/>
  <c r="L9" i="9" s="1"/>
  <c r="L10" i="9"/>
  <c r="I11" i="9"/>
  <c r="L11" i="9" s="1"/>
  <c r="I12" i="9"/>
  <c r="L12" i="9" s="1"/>
  <c r="I13" i="9"/>
  <c r="L13" i="9" s="1"/>
  <c r="I14" i="9"/>
  <c r="L14" i="9" s="1"/>
  <c r="I15" i="9"/>
  <c r="L15" i="9" s="1"/>
  <c r="I16" i="9"/>
  <c r="L16" i="9" s="1"/>
  <c r="I17" i="9"/>
  <c r="L17" i="9" s="1"/>
  <c r="I18" i="9"/>
  <c r="L18" i="9" s="1"/>
  <c r="I19" i="9"/>
  <c r="L19" i="9" s="1"/>
  <c r="I20" i="9"/>
  <c r="L20" i="9" s="1"/>
  <c r="I21" i="9"/>
  <c r="L21" i="9" s="1"/>
  <c r="I22" i="9"/>
  <c r="L22" i="9" s="1"/>
  <c r="I23" i="9"/>
  <c r="L23" i="9" s="1"/>
  <c r="I24" i="9"/>
  <c r="L24" i="9" s="1"/>
  <c r="I25" i="9"/>
  <c r="L25" i="9" s="1"/>
  <c r="I26" i="9"/>
  <c r="L26" i="9" s="1"/>
  <c r="I27" i="9"/>
  <c r="L27" i="9" s="1"/>
  <c r="I28" i="9"/>
  <c r="L28" i="9" s="1"/>
  <c r="I29" i="9"/>
  <c r="L29" i="9" s="1"/>
  <c r="I30" i="9"/>
  <c r="L30" i="9" s="1"/>
  <c r="I31" i="9"/>
  <c r="L31" i="9" s="1"/>
  <c r="I32" i="9"/>
  <c r="L32" i="9" s="1"/>
  <c r="I33" i="9"/>
  <c r="L33" i="9" s="1"/>
  <c r="I34" i="9"/>
  <c r="L34" i="9" s="1"/>
  <c r="I35" i="9"/>
  <c r="L35" i="9" s="1"/>
  <c r="I36" i="9"/>
  <c r="L36" i="9" s="1"/>
  <c r="I37" i="9"/>
  <c r="L37" i="9" s="1"/>
  <c r="I38" i="9"/>
  <c r="L38" i="9" s="1"/>
  <c r="I39" i="9"/>
  <c r="L39" i="9" s="1"/>
  <c r="I40" i="9"/>
  <c r="L40" i="9" s="1"/>
  <c r="I41" i="9"/>
  <c r="L41" i="9" s="1"/>
  <c r="I42" i="9"/>
  <c r="L42" i="9" s="1"/>
  <c r="A6" i="9"/>
  <c r="J6" i="9"/>
  <c r="A7" i="9"/>
  <c r="A8" i="9"/>
  <c r="A9" i="9"/>
  <c r="J9" i="9"/>
  <c r="A10" i="9"/>
  <c r="J10" i="9"/>
  <c r="A11" i="9"/>
  <c r="D11" i="9"/>
  <c r="J11" i="9"/>
  <c r="A12" i="9"/>
  <c r="D12" i="9"/>
  <c r="J12" i="9"/>
  <c r="A13" i="9"/>
  <c r="D13" i="9"/>
  <c r="J13" i="9"/>
  <c r="A14" i="9"/>
  <c r="D14" i="9"/>
  <c r="J14" i="9"/>
  <c r="A15" i="9"/>
  <c r="D15" i="9"/>
  <c r="J15" i="9"/>
  <c r="A16" i="9"/>
  <c r="D16" i="9"/>
  <c r="J16" i="9"/>
  <c r="A17" i="9"/>
  <c r="D17" i="9"/>
  <c r="J17" i="9"/>
  <c r="A18" i="9"/>
  <c r="D18" i="9"/>
  <c r="J18" i="9"/>
  <c r="A19" i="9"/>
  <c r="D19" i="9"/>
  <c r="J19" i="9"/>
  <c r="A20" i="9"/>
  <c r="D20" i="9"/>
  <c r="J20" i="9"/>
  <c r="A21" i="9"/>
  <c r="D21" i="9"/>
  <c r="J21" i="9"/>
  <c r="A22" i="9"/>
  <c r="D22" i="9"/>
  <c r="J22" i="9"/>
  <c r="A23" i="9"/>
  <c r="D23" i="9"/>
  <c r="J23" i="9"/>
  <c r="A24" i="9"/>
  <c r="D24" i="9"/>
  <c r="A25" i="9"/>
  <c r="D25" i="9"/>
  <c r="J25" i="9"/>
  <c r="A26" i="9"/>
  <c r="D26" i="9"/>
  <c r="A27" i="9"/>
  <c r="D27" i="9"/>
  <c r="J27" i="9"/>
  <c r="A28" i="9"/>
  <c r="D28" i="9"/>
  <c r="A29" i="9"/>
  <c r="D29" i="9"/>
  <c r="J29" i="9"/>
  <c r="A30" i="9"/>
  <c r="D30" i="9"/>
  <c r="A31" i="9"/>
  <c r="D31" i="9"/>
  <c r="J31" i="9"/>
  <c r="A32" i="9"/>
  <c r="D32" i="9"/>
  <c r="A33" i="9"/>
  <c r="D33" i="9"/>
  <c r="J33" i="9"/>
  <c r="A34" i="9"/>
  <c r="D34" i="9"/>
  <c r="A35" i="9"/>
  <c r="D35" i="9"/>
  <c r="J35" i="9"/>
  <c r="A36" i="9"/>
  <c r="D36" i="9"/>
  <c r="A37" i="9"/>
  <c r="D37" i="9"/>
  <c r="J37" i="9"/>
  <c r="A38" i="9"/>
  <c r="D38" i="9"/>
  <c r="A39" i="9"/>
  <c r="D39" i="9"/>
  <c r="J39" i="9"/>
  <c r="A40" i="9"/>
  <c r="D40" i="9"/>
  <c r="A41" i="9"/>
  <c r="D41" i="9"/>
  <c r="J41" i="9"/>
  <c r="A42" i="9"/>
  <c r="D42" i="9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I9" i="7"/>
  <c r="I6" i="7"/>
  <c r="J6" i="7" s="1"/>
  <c r="J7" i="7"/>
  <c r="L7" i="7" s="1"/>
  <c r="J8" i="7"/>
  <c r="I10" i="7"/>
  <c r="L10" i="7"/>
  <c r="I11" i="7"/>
  <c r="L11" i="7"/>
  <c r="I12" i="7"/>
  <c r="L12" i="7"/>
  <c r="I13" i="7"/>
  <c r="L13" i="7"/>
  <c r="I14" i="7"/>
  <c r="L14" i="7"/>
  <c r="I15" i="7"/>
  <c r="L15" i="7"/>
  <c r="I16" i="7"/>
  <c r="L16" i="7"/>
  <c r="I17" i="7"/>
  <c r="L17" i="7"/>
  <c r="I18" i="7"/>
  <c r="L18" i="7"/>
  <c r="I19" i="7"/>
  <c r="L19" i="7"/>
  <c r="I20" i="7"/>
  <c r="L20" i="7"/>
  <c r="I21" i="7"/>
  <c r="L21" i="7"/>
  <c r="I22" i="7"/>
  <c r="L22" i="7"/>
  <c r="I23" i="7"/>
  <c r="L23" i="7"/>
  <c r="I24" i="7"/>
  <c r="L24" i="7"/>
  <c r="I25" i="7"/>
  <c r="L25" i="7"/>
  <c r="I26" i="7"/>
  <c r="L26" i="7"/>
  <c r="I27" i="7"/>
  <c r="L27" i="7"/>
  <c r="I28" i="7"/>
  <c r="L28" i="7"/>
  <c r="I29" i="7"/>
  <c r="L29" i="7"/>
  <c r="I30" i="7"/>
  <c r="L30" i="7"/>
  <c r="I31" i="7"/>
  <c r="L31" i="7"/>
  <c r="I32" i="7"/>
  <c r="L32" i="7"/>
  <c r="I33" i="7"/>
  <c r="L33" i="7"/>
  <c r="I34" i="7"/>
  <c r="L34" i="7"/>
  <c r="I35" i="7"/>
  <c r="L35" i="7"/>
  <c r="I36" i="7"/>
  <c r="L36" i="7"/>
  <c r="I37" i="7"/>
  <c r="L37" i="7"/>
  <c r="I38" i="7"/>
  <c r="L38" i="7"/>
  <c r="I39" i="7"/>
  <c r="L39" i="7"/>
  <c r="I40" i="7"/>
  <c r="L40" i="7"/>
  <c r="I41" i="7"/>
  <c r="L41" i="7"/>
  <c r="I42" i="7"/>
  <c r="L42" i="7"/>
  <c r="I43" i="7"/>
  <c r="L43" i="7"/>
  <c r="J13" i="7"/>
  <c r="A13" i="7"/>
  <c r="J43" i="7"/>
  <c r="A43" i="7"/>
  <c r="J42" i="7"/>
  <c r="A42" i="7"/>
  <c r="J41" i="7"/>
  <c r="A41" i="7"/>
  <c r="J40" i="7"/>
  <c r="A40" i="7"/>
  <c r="J39" i="7"/>
  <c r="A39" i="7"/>
  <c r="J38" i="7"/>
  <c r="A38" i="7"/>
  <c r="J37" i="7"/>
  <c r="A37" i="7"/>
  <c r="J36" i="7"/>
  <c r="A36" i="7"/>
  <c r="J35" i="7"/>
  <c r="A35" i="7"/>
  <c r="J34" i="7"/>
  <c r="A34" i="7"/>
  <c r="J33" i="7"/>
  <c r="A33" i="7"/>
  <c r="J32" i="7"/>
  <c r="A32" i="7"/>
  <c r="J31" i="7"/>
  <c r="A31" i="7"/>
  <c r="J30" i="7"/>
  <c r="A30" i="7"/>
  <c r="J29" i="7"/>
  <c r="A29" i="7"/>
  <c r="J28" i="7"/>
  <c r="A28" i="7"/>
  <c r="J27" i="7"/>
  <c r="A27" i="7"/>
  <c r="J26" i="7"/>
  <c r="A26" i="7"/>
  <c r="J25" i="7"/>
  <c r="A25" i="7"/>
  <c r="J24" i="7"/>
  <c r="A24" i="7"/>
  <c r="J23" i="7"/>
  <c r="A23" i="7"/>
  <c r="J22" i="7"/>
  <c r="A22" i="7"/>
  <c r="J21" i="7"/>
  <c r="A21" i="7"/>
  <c r="J20" i="7"/>
  <c r="A20" i="7"/>
  <c r="J19" i="7"/>
  <c r="A19" i="7"/>
  <c r="J18" i="7"/>
  <c r="A18" i="7"/>
  <c r="J17" i="7"/>
  <c r="A17" i="7"/>
  <c r="J16" i="7"/>
  <c r="A16" i="7"/>
  <c r="J15" i="7"/>
  <c r="A15" i="7"/>
  <c r="J14" i="7"/>
  <c r="A14" i="7"/>
  <c r="J12" i="7"/>
  <c r="A12" i="7"/>
  <c r="J11" i="7"/>
  <c r="A11" i="7"/>
  <c r="J10" i="7"/>
  <c r="A10" i="7"/>
  <c r="J9" i="7"/>
  <c r="A9" i="7"/>
  <c r="A8" i="7"/>
  <c r="A7" i="7"/>
  <c r="A6" i="7"/>
  <c r="L8" i="7" l="1"/>
  <c r="L9" i="7" s="1"/>
  <c r="J42" i="9"/>
  <c r="J40" i="9"/>
  <c r="J38" i="9"/>
  <c r="J36" i="9"/>
  <c r="J34" i="9"/>
  <c r="J32" i="9"/>
  <c r="J30" i="9"/>
  <c r="J28" i="9"/>
  <c r="J26" i="9"/>
  <c r="J24" i="9"/>
</calcChain>
</file>

<file path=xl/comments1.xml><?xml version="1.0" encoding="utf-8"?>
<comments xmlns="http://schemas.openxmlformats.org/spreadsheetml/2006/main">
  <authors>
    <author>山田あゆみ</author>
    <author>Microsoft Office ユーザー</author>
    <author>PC JUNGLE</author>
  </authors>
  <commentLis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输入公历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输入月份。输入的数字将在单元格</t>
        </r>
        <r>
          <rPr>
            <b/>
            <sz val="9"/>
            <color indexed="81"/>
            <rFont val="Times New Roman"/>
            <family val="1"/>
          </rPr>
          <t xml:space="preserve"> A6 </t>
        </r>
        <r>
          <rPr>
            <b/>
            <sz val="9"/>
            <color indexed="81"/>
            <rFont val="宋体"/>
            <family val="3"/>
            <charset val="134"/>
          </rPr>
          <t>至</t>
        </r>
        <r>
          <rPr>
            <b/>
            <sz val="9"/>
            <color indexed="81"/>
            <rFont val="Times New Roman"/>
            <family val="1"/>
          </rPr>
          <t xml:space="preserve"> A43 </t>
        </r>
        <r>
          <rPr>
            <b/>
            <sz val="9"/>
            <color indexed="81"/>
            <rFont val="宋体"/>
            <family val="3"/>
            <charset val="134"/>
          </rPr>
          <t xml:space="preserve">中显示。
</t>
        </r>
      </text>
    </comment>
    <comment ref="A6" authorId="1">
      <text>
        <r>
          <rPr>
            <b/>
            <sz val="9"/>
            <color indexed="81"/>
            <rFont val="宋体"/>
            <family val="3"/>
            <charset val="134"/>
          </rPr>
          <t>在</t>
        </r>
        <r>
          <rPr>
            <b/>
            <sz val="9"/>
            <color indexed="81"/>
            <rFont val="Times New Roman"/>
            <family val="1"/>
          </rPr>
          <t xml:space="preserve"> B </t>
        </r>
        <r>
          <rPr>
            <b/>
            <sz val="9"/>
            <color indexed="81"/>
            <rFont val="宋体"/>
            <family val="3"/>
            <charset val="134"/>
          </rPr>
          <t>列中输入日期后，</t>
        </r>
        <r>
          <rPr>
            <b/>
            <sz val="9"/>
            <color indexed="81"/>
            <rFont val="Times New Roman"/>
            <family val="1"/>
          </rPr>
          <t xml:space="preserve">A </t>
        </r>
        <r>
          <rPr>
            <b/>
            <sz val="9"/>
            <color indexed="81"/>
            <rFont val="宋体"/>
            <family val="3"/>
            <charset val="134"/>
          </rPr>
          <t>列中将自动显示在单元格</t>
        </r>
        <r>
          <rPr>
            <b/>
            <sz val="9"/>
            <color indexed="81"/>
            <rFont val="Times New Roman"/>
            <family val="1"/>
          </rPr>
          <t xml:space="preserve"> F2 </t>
        </r>
        <r>
          <rPr>
            <b/>
            <sz val="9"/>
            <color indexed="81"/>
            <rFont val="宋体"/>
            <family val="3"/>
            <charset val="134"/>
          </rPr>
          <t xml:space="preserve">中输入的月份。
</t>
        </r>
      </text>
    </comment>
    <comment ref="L6" authorId="1">
      <text>
        <r>
          <rPr>
            <b/>
            <sz val="9"/>
            <color indexed="81"/>
            <rFont val="宋体"/>
            <family val="3"/>
            <charset val="134"/>
          </rPr>
          <t>在单元格</t>
        </r>
        <r>
          <rPr>
            <b/>
            <sz val="9"/>
            <color indexed="81"/>
            <rFont val="Times New Roman"/>
            <family val="1"/>
          </rPr>
          <t xml:space="preserve"> L6 </t>
        </r>
        <r>
          <rPr>
            <b/>
            <sz val="9"/>
            <color indexed="81"/>
            <rFont val="宋体"/>
            <family val="3"/>
            <charset val="134"/>
          </rPr>
          <t>中，输入上月期末结转余额或是上期结转余额。</t>
        </r>
      </text>
    </comment>
    <comment ref="I8" authorId="0">
      <text>
        <r>
          <rPr>
            <b/>
            <sz val="9"/>
            <color indexed="81"/>
            <rFont val="宋体"/>
            <family val="3"/>
            <charset val="134"/>
          </rPr>
          <t>显示与代码编号对应的单价。</t>
        </r>
      </text>
    </comment>
    <comment ref="J8" authorId="2">
      <text>
        <r>
          <rPr>
            <b/>
            <sz val="9"/>
            <color indexed="10"/>
            <rFont val="宋体"/>
            <family val="3"/>
            <charset val="134"/>
          </rPr>
          <t xml:space="preserve">输入数量和单价后，单元格中将显示计算的购入金额。
</t>
        </r>
      </text>
    </comment>
    <comment ref="C9" authorId="2">
      <text>
        <r>
          <rPr>
            <b/>
            <sz val="9"/>
            <color indexed="81"/>
            <rFont val="宋体"/>
            <family val="3"/>
            <charset val="134"/>
          </rPr>
          <t>输入在摘要一览表的代码主文件中注册的代码编号。</t>
        </r>
      </text>
    </comment>
    <comment ref="D9" authorId="2">
      <text>
        <r>
          <rPr>
            <b/>
            <sz val="9"/>
            <color indexed="81"/>
            <rFont val="宋体"/>
            <family val="3"/>
            <charset val="134"/>
          </rPr>
          <t>显示与代码编号对应的摘要。</t>
        </r>
      </text>
    </comment>
    <comment ref="L9" authorId="2">
      <text>
        <r>
          <rPr>
            <b/>
            <sz val="9"/>
            <color indexed="81"/>
            <rFont val="宋体"/>
            <family val="3"/>
            <charset val="134"/>
          </rPr>
          <t>根据购入金额、支付金额和单元格</t>
        </r>
        <r>
          <rPr>
            <b/>
            <sz val="9"/>
            <color indexed="81"/>
            <rFont val="Times New Roman"/>
            <family val="1"/>
          </rPr>
          <t xml:space="preserve"> L6 </t>
        </r>
        <r>
          <rPr>
            <b/>
            <sz val="9"/>
            <color indexed="81"/>
            <rFont val="宋体"/>
            <family val="3"/>
            <charset val="134"/>
          </rPr>
          <t>中输入的金额，该单元格将自动计算出余额。</t>
        </r>
      </text>
    </comment>
    <comment ref="D10" authorId="2">
      <text>
        <r>
          <rPr>
            <b/>
            <sz val="9"/>
            <color indexed="81"/>
            <rFont val="宋体"/>
            <family val="3"/>
            <charset val="134"/>
          </rPr>
          <t>如果输入的代码编号未在代码主文件中注册，单元格将显示“未注册”</t>
        </r>
      </text>
    </comment>
  </commentList>
</comments>
</file>

<file path=xl/sharedStrings.xml><?xml version="1.0" encoding="utf-8"?>
<sst xmlns="http://schemas.openxmlformats.org/spreadsheetml/2006/main" count="40" uniqueCount="25">
  <si>
    <t>年</t>
    <phoneticPr fontId="2"/>
  </si>
  <si>
    <t>月</t>
    <phoneticPr fontId="2"/>
  </si>
  <si>
    <t>日</t>
    <phoneticPr fontId="2"/>
  </si>
  <si>
    <t>摘要</t>
    <phoneticPr fontId="2"/>
  </si>
  <si>
    <t>数量</t>
    <phoneticPr fontId="2"/>
  </si>
  <si>
    <t>单价</t>
    <phoneticPr fontId="2"/>
  </si>
  <si>
    <t>支付金额</t>
    <phoneticPr fontId="2"/>
  </si>
  <si>
    <t>设定代码编号时，请注意不要重复</t>
    <phoneticPr fontId="2"/>
  </si>
  <si>
    <t>代码主文件</t>
    <phoneticPr fontId="2"/>
  </si>
  <si>
    <t>代码编号</t>
    <phoneticPr fontId="2"/>
  </si>
  <si>
    <t>前期结转</t>
    <phoneticPr fontId="2"/>
  </si>
  <si>
    <t>上月结转</t>
    <phoneticPr fontId="2"/>
  </si>
  <si>
    <t>票据</t>
    <phoneticPr fontId="2"/>
  </si>
  <si>
    <t>现金</t>
    <phoneticPr fontId="2"/>
  </si>
  <si>
    <t>银行支票存款帐号</t>
    <phoneticPr fontId="2"/>
  </si>
  <si>
    <t>打印机</t>
    <phoneticPr fontId="2"/>
  </si>
  <si>
    <t>未注册</t>
    <phoneticPr fontId="2"/>
  </si>
  <si>
    <t>代码</t>
    <phoneticPr fontId="2"/>
  </si>
  <si>
    <t>编号</t>
    <phoneticPr fontId="2"/>
  </si>
  <si>
    <t>编号</t>
    <phoneticPr fontId="2"/>
  </si>
  <si>
    <t>个人电脑</t>
    <phoneticPr fontId="2"/>
  </si>
  <si>
    <r>
      <t>※请在代码主文件（单元格</t>
    </r>
    <r>
      <rPr>
        <sz val="9"/>
        <color indexed="23"/>
        <rFont val="Times New Roman"/>
        <family val="1"/>
      </rPr>
      <t xml:space="preserve"> B5 </t>
    </r>
    <r>
      <rPr>
        <sz val="9"/>
        <color indexed="23"/>
        <rFont val="宋体"/>
        <family val="3"/>
        <charset val="134"/>
      </rPr>
      <t>至</t>
    </r>
    <r>
      <rPr>
        <sz val="9"/>
        <color indexed="23"/>
        <rFont val="Times New Roman"/>
        <family val="1"/>
      </rPr>
      <t xml:space="preserve"> D54</t>
    </r>
    <r>
      <rPr>
        <sz val="9"/>
        <color indexed="23"/>
        <rFont val="宋体"/>
        <family val="3"/>
        <charset val="134"/>
      </rPr>
      <t>）中输入代码编号、摘要和单价</t>
    </r>
    <phoneticPr fontId="2"/>
  </si>
  <si>
    <t>采购总分类帐</t>
    <phoneticPr fontId="2"/>
  </si>
  <si>
    <t>采购金额</t>
    <phoneticPr fontId="2"/>
  </si>
  <si>
    <t>余额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</si>
</sst>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name val="ＭＳ Ｐゴシック"/>
      <family val="2"/>
    </font>
    <font>
      <sz val="11"/>
      <name val="ＭＳ Ｐゴシック"/>
      <family val="2"/>
    </font>
    <font>
      <sz val="6"/>
      <name val="ＭＳ Ｐゴシック"/>
      <family val="2"/>
    </font>
    <font>
      <sz val="10"/>
      <name val="ＭＳ Ｐゴシック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sz val="9"/>
      <color indexed="23"/>
      <name val="宋体"/>
      <family val="3"/>
      <charset val="134"/>
    </font>
    <font>
      <sz val="9"/>
      <color indexed="23"/>
      <name val="Times New Roman"/>
      <family val="1"/>
    </font>
    <font>
      <b/>
      <sz val="9"/>
      <color indexed="81"/>
      <name val="宋体"/>
      <family val="3"/>
      <charset val="134"/>
    </font>
    <font>
      <b/>
      <sz val="9"/>
      <color indexed="10"/>
      <name val="宋体"/>
      <family val="3"/>
      <charset val="134"/>
    </font>
    <font>
      <b/>
      <sz val="9"/>
      <color indexed="8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 style="double">
        <color indexed="10"/>
      </right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medium">
        <color indexed="10"/>
      </right>
      <top style="thin">
        <color indexed="12"/>
      </top>
      <bottom style="thin">
        <color indexed="12"/>
      </bottom>
      <diagonal/>
    </border>
    <border>
      <left style="medium">
        <color indexed="10"/>
      </left>
      <right style="thin">
        <color indexed="12"/>
      </right>
      <top style="thin">
        <color indexed="12"/>
      </top>
      <bottom style="medium">
        <color indexed="10"/>
      </bottom>
      <diagonal/>
    </border>
    <border>
      <left/>
      <right style="double">
        <color indexed="10"/>
      </right>
      <top style="thin">
        <color indexed="12"/>
      </top>
      <bottom style="medium">
        <color indexed="10"/>
      </bottom>
      <diagonal/>
    </border>
    <border>
      <left/>
      <right style="thin">
        <color indexed="12"/>
      </right>
      <top style="thin">
        <color indexed="12"/>
      </top>
      <bottom style="medium">
        <color indexed="10"/>
      </bottom>
      <diagonal/>
    </border>
    <border>
      <left style="thin">
        <color indexed="10"/>
      </left>
      <right style="medium">
        <color indexed="10"/>
      </right>
      <top style="thin">
        <color indexed="12"/>
      </top>
      <bottom style="medium">
        <color indexed="10"/>
      </bottom>
      <diagonal/>
    </border>
    <border>
      <left style="double">
        <color indexed="10"/>
      </left>
      <right style="double">
        <color indexed="10"/>
      </right>
      <top style="thin">
        <color indexed="12"/>
      </top>
      <bottom style="thin">
        <color indexed="12"/>
      </bottom>
      <diagonal/>
    </border>
    <border>
      <left style="double">
        <color indexed="10"/>
      </left>
      <right style="double">
        <color indexed="10"/>
      </right>
      <top style="thin">
        <color indexed="12"/>
      </top>
      <bottom style="medium">
        <color indexed="1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medium">
        <color indexed="10"/>
      </bottom>
      <diagonal/>
    </border>
    <border>
      <left style="double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0"/>
      </left>
      <right style="thin">
        <color indexed="12"/>
      </right>
      <top/>
      <bottom style="thin">
        <color indexed="12"/>
      </bottom>
      <diagonal/>
    </border>
    <border>
      <left style="double">
        <color indexed="10"/>
      </left>
      <right/>
      <top style="thin">
        <color indexed="12"/>
      </top>
      <bottom style="thin">
        <color indexed="12"/>
      </bottom>
      <diagonal/>
    </border>
    <border>
      <left style="medium">
        <color indexed="10"/>
      </left>
      <right style="thin">
        <color indexed="12"/>
      </right>
      <top style="medium">
        <color indexed="10"/>
      </top>
      <bottom/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10"/>
      </left>
      <right style="double">
        <color indexed="10"/>
      </right>
      <top style="medium">
        <color indexed="10"/>
      </top>
      <bottom/>
      <diagonal/>
    </border>
    <border>
      <left style="double">
        <color indexed="10"/>
      </left>
      <right style="double">
        <color indexed="10"/>
      </right>
      <top/>
      <bottom style="thin">
        <color indexed="12"/>
      </bottom>
      <diagonal/>
    </border>
    <border>
      <left/>
      <right style="double">
        <color indexed="10"/>
      </right>
      <top style="medium">
        <color indexed="10"/>
      </top>
      <bottom/>
      <diagonal/>
    </border>
    <border>
      <left/>
      <right style="double">
        <color indexed="10"/>
      </right>
      <top/>
      <bottom style="thin">
        <color indexed="12"/>
      </bottom>
      <diagonal/>
    </border>
    <border>
      <left style="thin">
        <color indexed="12"/>
      </left>
      <right style="double">
        <color indexed="10"/>
      </right>
      <top style="medium">
        <color indexed="10"/>
      </top>
      <bottom/>
      <diagonal/>
    </border>
    <border>
      <left style="thin">
        <color indexed="12"/>
      </left>
      <right style="double">
        <color indexed="10"/>
      </right>
      <top/>
      <bottom style="thin">
        <color indexed="12"/>
      </bottom>
      <diagonal/>
    </border>
    <border>
      <left style="double">
        <color indexed="10"/>
      </left>
      <right/>
      <top style="medium">
        <color indexed="10"/>
      </top>
      <bottom style="thin">
        <color indexed="12"/>
      </bottom>
      <diagonal/>
    </border>
    <border>
      <left/>
      <right/>
      <top style="medium">
        <color indexed="10"/>
      </top>
      <bottom style="thin">
        <color indexed="12"/>
      </bottom>
      <diagonal/>
    </border>
    <border>
      <left/>
      <right style="double">
        <color indexed="10"/>
      </right>
      <top style="medium">
        <color indexed="10"/>
      </top>
      <bottom style="thin">
        <color indexed="12"/>
      </bottom>
      <diagonal/>
    </border>
    <border>
      <left style="double">
        <color indexed="10"/>
      </left>
      <right/>
      <top style="medium">
        <color indexed="10"/>
      </top>
      <bottom/>
      <diagonal/>
    </border>
    <border>
      <left style="double">
        <color indexed="10"/>
      </left>
      <right/>
      <top/>
      <bottom style="thin">
        <color indexed="12"/>
      </bottom>
      <diagonal/>
    </border>
    <border>
      <left style="double">
        <color indexed="10"/>
      </left>
      <right style="medium">
        <color indexed="10"/>
      </right>
      <top style="medium">
        <color indexed="10"/>
      </top>
      <bottom/>
      <diagonal/>
    </border>
    <border>
      <left style="double">
        <color indexed="10"/>
      </left>
      <right style="medium">
        <color indexed="10"/>
      </right>
      <top/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medium">
        <color indexed="10"/>
      </bottom>
      <diagonal/>
    </border>
    <border>
      <left/>
      <right/>
      <top style="thin">
        <color indexed="12"/>
      </top>
      <bottom style="medium">
        <color indexed="10"/>
      </bottom>
      <diagonal/>
    </border>
    <border>
      <left style="double">
        <color indexed="10"/>
      </left>
      <right/>
      <top style="thin">
        <color indexed="12"/>
      </top>
      <bottom style="medium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double">
        <color indexed="10"/>
      </right>
      <top style="thin">
        <color indexed="12"/>
      </top>
      <bottom style="thin">
        <color indexed="12"/>
      </bottom>
      <diagonal/>
    </border>
    <border>
      <left/>
      <right style="double">
        <color indexed="10"/>
      </right>
      <top/>
      <bottom style="double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1">
      <alignment vertical="center"/>
    </xf>
    <xf numFmtId="0" fontId="1" fillId="0" borderId="1" xfId="1" applyBorder="1">
      <alignment vertical="center"/>
    </xf>
    <xf numFmtId="0" fontId="1" fillId="0" borderId="1" xfId="1" applyFon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0" xfId="0" applyProtection="1">
      <protection locked="0"/>
    </xf>
    <xf numFmtId="0" fontId="3" fillId="0" borderId="2" xfId="0" applyNumberFormat="1" applyFont="1" applyBorder="1" applyProtection="1"/>
    <xf numFmtId="0" fontId="3" fillId="0" borderId="3" xfId="0" applyNumberFormat="1" applyFont="1" applyBorder="1" applyProtection="1">
      <protection locked="0"/>
    </xf>
    <xf numFmtId="0" fontId="3" fillId="2" borderId="4" xfId="0" applyFont="1" applyFill="1" applyBorder="1" applyProtection="1">
      <protection locked="0"/>
    </xf>
    <xf numFmtId="38" fontId="3" fillId="0" borderId="3" xfId="2" applyFont="1" applyBorder="1" applyAlignment="1" applyProtection="1"/>
    <xf numFmtId="38" fontId="3" fillId="0" borderId="5" xfId="2" applyFont="1" applyBorder="1" applyAlignment="1" applyProtection="1"/>
    <xf numFmtId="0" fontId="3" fillId="0" borderId="6" xfId="0" applyNumberFormat="1" applyFont="1" applyBorder="1" applyProtection="1"/>
    <xf numFmtId="0" fontId="3" fillId="0" borderId="7" xfId="0" applyNumberFormat="1" applyFont="1" applyBorder="1" applyProtection="1">
      <protection locked="0"/>
    </xf>
    <xf numFmtId="0" fontId="3" fillId="2" borderId="8" xfId="0" applyFont="1" applyFill="1" applyBorder="1" applyProtection="1">
      <protection locked="0"/>
    </xf>
    <xf numFmtId="38" fontId="3" fillId="0" borderId="7" xfId="2" applyFont="1" applyBorder="1" applyAlignment="1" applyProtection="1"/>
    <xf numFmtId="38" fontId="3" fillId="0" borderId="9" xfId="2" applyFont="1" applyBorder="1" applyAlignment="1" applyProtection="1"/>
    <xf numFmtId="38" fontId="1" fillId="0" borderId="1" xfId="2" applyBorder="1" applyAlignment="1">
      <alignment horizontal="right" vertical="center"/>
    </xf>
    <xf numFmtId="38" fontId="1" fillId="0" borderId="1" xfId="2" applyFill="1" applyBorder="1" applyAlignment="1">
      <alignment horizontal="right" vertical="center"/>
    </xf>
    <xf numFmtId="0" fontId="0" fillId="0" borderId="0" xfId="0" applyProtection="1"/>
    <xf numFmtId="0" fontId="3" fillId="0" borderId="3" xfId="0" applyNumberFormat="1" applyFont="1" applyBorder="1" applyProtection="1"/>
    <xf numFmtId="0" fontId="3" fillId="2" borderId="4" xfId="0" applyFont="1" applyFill="1" applyBorder="1" applyProtection="1"/>
    <xf numFmtId="0" fontId="3" fillId="0" borderId="7" xfId="0" applyNumberFormat="1" applyFont="1" applyBorder="1" applyProtection="1"/>
    <xf numFmtId="0" fontId="3" fillId="2" borderId="8" xfId="0" applyFont="1" applyFill="1" applyBorder="1" applyProtection="1"/>
    <xf numFmtId="38" fontId="3" fillId="0" borderId="3" xfId="2" applyFont="1" applyBorder="1" applyAlignment="1" applyProtection="1">
      <protection locked="0"/>
    </xf>
    <xf numFmtId="38" fontId="3" fillId="0" borderId="7" xfId="2" applyFont="1" applyBorder="1" applyAlignment="1" applyProtection="1">
      <protection locked="0"/>
    </xf>
    <xf numFmtId="38" fontId="3" fillId="0" borderId="10" xfId="2" applyFont="1" applyBorder="1" applyAlignment="1" applyProtection="1"/>
    <xf numFmtId="38" fontId="3" fillId="0" borderId="11" xfId="2" applyFont="1" applyBorder="1" applyAlignment="1" applyProtection="1"/>
    <xf numFmtId="38" fontId="5" fillId="0" borderId="3" xfId="2" applyFont="1" applyBorder="1" applyAlignment="1" applyProtection="1">
      <protection locked="0"/>
    </xf>
    <xf numFmtId="0" fontId="6" fillId="0" borderId="12" xfId="0" applyFont="1" applyBorder="1" applyAlignment="1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 applyBorder="1" applyAlignme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5" fillId="0" borderId="2" xfId="0" applyNumberFormat="1" applyFont="1" applyBorder="1" applyProtection="1"/>
    <xf numFmtId="0" fontId="5" fillId="0" borderId="3" xfId="0" applyNumberFormat="1" applyFont="1" applyBorder="1" applyProtection="1">
      <protection locked="0"/>
    </xf>
    <xf numFmtId="0" fontId="5" fillId="2" borderId="4" xfId="0" applyFont="1" applyFill="1" applyBorder="1" applyProtection="1">
      <protection locked="0"/>
    </xf>
    <xf numFmtId="38" fontId="5" fillId="0" borderId="3" xfId="2" applyFont="1" applyBorder="1" applyAlignment="1" applyProtection="1"/>
    <xf numFmtId="38" fontId="5" fillId="0" borderId="10" xfId="2" applyFont="1" applyBorder="1" applyAlignment="1" applyProtection="1"/>
    <xf numFmtId="38" fontId="5" fillId="0" borderId="5" xfId="2" applyFont="1" applyBorder="1" applyAlignment="1" applyProtection="1">
      <protection locked="0"/>
    </xf>
    <xf numFmtId="38" fontId="5" fillId="0" borderId="5" xfId="2" applyFont="1" applyBorder="1" applyAlignment="1" applyProtection="1"/>
    <xf numFmtId="0" fontId="6" fillId="0" borderId="0" xfId="0" applyFont="1"/>
    <xf numFmtId="0" fontId="7" fillId="0" borderId="0" xfId="1" applyFont="1">
      <alignment vertical="center"/>
    </xf>
    <xf numFmtId="0" fontId="6" fillId="0" borderId="0" xfId="1" applyFont="1">
      <alignment vertical="center"/>
    </xf>
    <xf numFmtId="0" fontId="6" fillId="3" borderId="1" xfId="1" applyFont="1" applyFill="1" applyBorder="1" applyAlignment="1">
      <alignment horizontal="center" vertical="center"/>
    </xf>
    <xf numFmtId="0" fontId="6" fillId="0" borderId="1" xfId="1" applyFont="1" applyBorder="1">
      <alignment vertical="center"/>
    </xf>
    <xf numFmtId="0" fontId="6" fillId="0" borderId="1" xfId="1" applyFont="1" applyBorder="1" applyAlignment="1">
      <alignment horizontal="center" vertical="center"/>
    </xf>
    <xf numFmtId="38" fontId="6" fillId="0" borderId="1" xfId="2" applyFont="1" applyBorder="1" applyAlignment="1">
      <alignment horizontal="right" vertical="center"/>
    </xf>
    <xf numFmtId="0" fontId="6" fillId="0" borderId="12" xfId="0" applyFont="1" applyBorder="1" applyAlignment="1" applyProtection="1"/>
    <xf numFmtId="0" fontId="6" fillId="0" borderId="0" xfId="0" applyFont="1" applyProtection="1"/>
    <xf numFmtId="0" fontId="6" fillId="0" borderId="0" xfId="0" applyFont="1" applyBorder="1" applyProtection="1"/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center" vertical="center"/>
    </xf>
    <xf numFmtId="0" fontId="4" fillId="0" borderId="1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/>
    </xf>
    <xf numFmtId="0" fontId="5" fillId="0" borderId="3" xfId="0" applyNumberFormat="1" applyFont="1" applyBorder="1" applyProtection="1"/>
    <xf numFmtId="0" fontId="5" fillId="2" borderId="4" xfId="0" applyFont="1" applyFill="1" applyBorder="1" applyProtection="1"/>
    <xf numFmtId="0" fontId="5" fillId="2" borderId="15" xfId="0" applyFont="1" applyFill="1" applyBorder="1" applyProtection="1"/>
    <xf numFmtId="0" fontId="3" fillId="0" borderId="19" xfId="0" applyFont="1" applyBorder="1" applyAlignment="1" applyProtection="1"/>
    <xf numFmtId="0" fontId="3" fillId="0" borderId="20" xfId="0" applyFont="1" applyBorder="1" applyAlignment="1" applyProtection="1"/>
    <xf numFmtId="0" fontId="3" fillId="0" borderId="3" xfId="0" applyFont="1" applyBorder="1" applyAlignment="1" applyProtection="1"/>
    <xf numFmtId="38" fontId="3" fillId="0" borderId="17" xfId="2" applyFont="1" applyBorder="1" applyAlignment="1" applyProtection="1">
      <protection locked="0"/>
    </xf>
    <xf numFmtId="38" fontId="3" fillId="0" borderId="3" xfId="2" applyFont="1" applyBorder="1" applyAlignment="1" applyProtection="1">
      <protection locked="0"/>
    </xf>
    <xf numFmtId="0" fontId="3" fillId="0" borderId="34" xfId="0" applyFont="1" applyBorder="1" applyAlignment="1" applyProtection="1"/>
    <xf numFmtId="0" fontId="3" fillId="0" borderId="35" xfId="0" applyFont="1" applyBorder="1" applyAlignment="1" applyProtection="1"/>
    <xf numFmtId="0" fontId="3" fillId="0" borderId="7" xfId="0" applyFont="1" applyBorder="1" applyAlignment="1" applyProtection="1"/>
    <xf numFmtId="38" fontId="3" fillId="0" borderId="36" xfId="2" applyFont="1" applyBorder="1" applyAlignment="1" applyProtection="1">
      <protection locked="0"/>
    </xf>
    <xf numFmtId="38" fontId="3" fillId="0" borderId="7" xfId="2" applyFont="1" applyBorder="1" applyAlignment="1" applyProtection="1">
      <protection locked="0"/>
    </xf>
    <xf numFmtId="0" fontId="5" fillId="0" borderId="19" xfId="0" applyFont="1" applyBorder="1" applyAlignment="1" applyProtection="1"/>
    <xf numFmtId="0" fontId="5" fillId="0" borderId="20" xfId="0" applyFont="1" applyBorder="1" applyAlignment="1" applyProtection="1"/>
    <xf numFmtId="0" fontId="5" fillId="0" borderId="3" xfId="0" applyFont="1" applyBorder="1" applyAlignment="1" applyProtection="1"/>
    <xf numFmtId="38" fontId="5" fillId="0" borderId="17" xfId="2" applyFont="1" applyBorder="1" applyAlignment="1" applyProtection="1">
      <protection locked="0"/>
    </xf>
    <xf numFmtId="38" fontId="5" fillId="0" borderId="3" xfId="2" applyFont="1" applyBorder="1" applyAlignment="1" applyProtection="1">
      <protection locked="0"/>
    </xf>
    <xf numFmtId="0" fontId="5" fillId="0" borderId="32" xfId="0" applyFont="1" applyBorder="1" applyAlignment="1" applyProtection="1">
      <alignment horizontal="center" vertical="center"/>
      <protection locked="0"/>
    </xf>
    <xf numFmtId="0" fontId="5" fillId="0" borderId="33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18" xfId="0" applyNumberFormat="1" applyFont="1" applyBorder="1" applyAlignment="1" applyProtection="1">
      <alignment horizontal="center" vertical="center"/>
      <protection locked="0"/>
    </xf>
    <xf numFmtId="0" fontId="5" fillId="0" borderId="16" xfId="0" applyNumberFormat="1" applyFont="1" applyBorder="1" applyAlignment="1" applyProtection="1">
      <alignment horizontal="center" vertical="center"/>
      <protection locked="0"/>
    </xf>
    <xf numFmtId="0" fontId="5" fillId="0" borderId="25" xfId="0" applyNumberFormat="1" applyFont="1" applyBorder="1" applyAlignment="1" applyProtection="1">
      <alignment horizontal="center" vertical="center"/>
      <protection locked="0"/>
    </xf>
    <xf numFmtId="0" fontId="5" fillId="0" borderId="26" xfId="0" applyNumberFormat="1" applyFont="1" applyBorder="1" applyAlignment="1" applyProtection="1">
      <alignment horizontal="center"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0" fontId="5" fillId="0" borderId="31" xfId="0" applyFont="1" applyBorder="1" applyAlignment="1" applyProtection="1">
      <alignment horizontal="center" vertical="center"/>
      <protection locked="0"/>
    </xf>
    <xf numFmtId="0" fontId="5" fillId="0" borderId="24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4" fillId="0" borderId="13" xfId="0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>
      <alignment horizontal="center" vertical="center"/>
    </xf>
    <xf numFmtId="0" fontId="6" fillId="0" borderId="12" xfId="0" applyFont="1" applyBorder="1" applyAlignment="1" applyProtection="1">
      <alignment horizontal="center"/>
    </xf>
    <xf numFmtId="0" fontId="4" fillId="0" borderId="13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5" fillId="0" borderId="18" xfId="0" applyNumberFormat="1" applyFont="1" applyBorder="1" applyAlignment="1" applyProtection="1">
      <alignment horizontal="center" vertical="center"/>
    </xf>
    <xf numFmtId="0" fontId="5" fillId="0" borderId="16" xfId="0" applyNumberFormat="1" applyFont="1" applyBorder="1" applyAlignment="1" applyProtection="1">
      <alignment horizontal="center" vertical="center"/>
    </xf>
    <xf numFmtId="0" fontId="5" fillId="0" borderId="25" xfId="0" applyNumberFormat="1" applyFont="1" applyBorder="1" applyAlignment="1" applyProtection="1">
      <alignment horizontal="center" vertical="center"/>
    </xf>
    <xf numFmtId="0" fontId="5" fillId="0" borderId="26" xfId="0" applyNumberFormat="1" applyFont="1" applyBorder="1" applyAlignment="1" applyProtection="1">
      <alignment horizontal="center" vertical="center"/>
    </xf>
    <xf numFmtId="0" fontId="5" fillId="0" borderId="27" xfId="0" applyFont="1" applyBorder="1" applyAlignment="1" applyProtection="1">
      <alignment horizontal="center" vertical="center"/>
    </xf>
    <xf numFmtId="0" fontId="5" fillId="0" borderId="28" xfId="0" applyFont="1" applyBorder="1" applyAlignment="1" applyProtection="1">
      <alignment horizontal="center" vertical="center"/>
    </xf>
    <xf numFmtId="0" fontId="5" fillId="0" borderId="29" xfId="0" applyFont="1" applyBorder="1" applyAlignment="1" applyProtection="1">
      <alignment horizontal="center" vertical="center"/>
    </xf>
    <xf numFmtId="0" fontId="5" fillId="0" borderId="30" xfId="0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horizontal="center" vertical="center"/>
    </xf>
    <xf numFmtId="0" fontId="5" fillId="0" borderId="31" xfId="0" applyFont="1" applyBorder="1" applyAlignment="1" applyProtection="1">
      <alignment horizontal="center" vertical="center"/>
    </xf>
    <xf numFmtId="0" fontId="5" fillId="0" borderId="24" xfId="0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 vertical="center"/>
    </xf>
    <xf numFmtId="0" fontId="5" fillId="0" borderId="33" xfId="0" applyFon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horizontal="center"/>
    </xf>
    <xf numFmtId="0" fontId="5" fillId="0" borderId="20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38" fontId="5" fillId="0" borderId="17" xfId="2" applyFont="1" applyBorder="1" applyAlignment="1" applyProtection="1"/>
    <xf numFmtId="38" fontId="5" fillId="0" borderId="3" xfId="2" applyFont="1" applyBorder="1" applyAlignment="1" applyProtection="1"/>
    <xf numFmtId="0" fontId="5" fillId="0" borderId="37" xfId="0" applyFont="1" applyBorder="1" applyAlignment="1" applyProtection="1"/>
    <xf numFmtId="0" fontId="5" fillId="0" borderId="38" xfId="0" applyFont="1" applyBorder="1" applyAlignment="1" applyProtection="1"/>
    <xf numFmtId="38" fontId="3" fillId="0" borderId="17" xfId="2" applyFont="1" applyBorder="1" applyAlignment="1" applyProtection="1"/>
    <xf numFmtId="38" fontId="3" fillId="0" borderId="3" xfId="2" applyFont="1" applyBorder="1" applyAlignment="1" applyProtection="1"/>
    <xf numFmtId="38" fontId="3" fillId="0" borderId="36" xfId="2" applyFont="1" applyBorder="1" applyAlignment="1" applyProtection="1"/>
    <xf numFmtId="38" fontId="3" fillId="0" borderId="7" xfId="2" applyFont="1" applyBorder="1" applyAlignment="1" applyProtection="1"/>
  </cellXfs>
  <cellStyles count="3">
    <cellStyle name="標準_時間割5" xfId="1"/>
    <cellStyle name="常规" xfId="0" builtinId="0"/>
    <cellStyle name="千位分隔[0]" xfId="2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2"/>
  </sheetPr>
  <dimension ref="A1:L43"/>
  <sheetViews>
    <sheetView tabSelected="1" workbookViewId="0">
      <selection activeCell="K7" sqref="K7"/>
    </sheetView>
  </sheetViews>
  <sheetFormatPr defaultRowHeight="13.5"/>
  <cols>
    <col min="1" max="1" width="4.25" style="6" customWidth="1"/>
    <col min="2" max="2" width="3.625" style="6" customWidth="1"/>
    <col min="3" max="3" width="4.625" style="6" customWidth="1"/>
    <col min="4" max="4" width="6.5" style="6" customWidth="1"/>
    <col min="5" max="5" width="4.625" style="6" customWidth="1"/>
    <col min="6" max="6" width="3.5" style="6" customWidth="1"/>
    <col min="7" max="7" width="3.625" style="6" customWidth="1"/>
    <col min="8" max="8" width="5.625" style="6" customWidth="1"/>
    <col min="9" max="9" width="8.625" style="6" customWidth="1"/>
    <col min="10" max="11" width="10.625" style="6" customWidth="1"/>
    <col min="12" max="12" width="12.625" style="6" customWidth="1"/>
    <col min="13" max="16384" width="9" style="6"/>
  </cols>
  <sheetData>
    <row r="1" spans="1:12">
      <c r="A1" s="29" t="s">
        <v>19</v>
      </c>
      <c r="B1" s="95">
        <v>1</v>
      </c>
      <c r="C1" s="95"/>
      <c r="D1" s="30"/>
      <c r="E1" s="30"/>
      <c r="F1" s="30"/>
      <c r="G1" s="30"/>
      <c r="H1" s="30"/>
      <c r="I1" s="30"/>
      <c r="J1" s="30"/>
      <c r="K1" s="30"/>
      <c r="L1" s="30"/>
    </row>
    <row r="2" spans="1:12" ht="15" thickBot="1">
      <c r="A2" s="31"/>
      <c r="B2" s="30"/>
      <c r="C2" s="32"/>
      <c r="D2" s="33"/>
      <c r="E2" s="33" t="s">
        <v>0</v>
      </c>
      <c r="F2" s="33"/>
      <c r="G2" s="33" t="s">
        <v>1</v>
      </c>
      <c r="H2" s="33"/>
      <c r="I2" s="96" t="s">
        <v>22</v>
      </c>
      <c r="J2" s="96"/>
      <c r="K2" s="96"/>
      <c r="L2" s="32"/>
    </row>
    <row r="3" spans="1:12" ht="15.75" thickTop="1" thickBot="1">
      <c r="A3" s="32"/>
      <c r="B3" s="32"/>
      <c r="C3" s="32"/>
      <c r="D3" s="34"/>
      <c r="E3" s="34"/>
      <c r="F3" s="34"/>
      <c r="G3" s="34"/>
      <c r="H3" s="34"/>
      <c r="I3" s="34"/>
      <c r="J3" s="34"/>
      <c r="K3" s="34"/>
      <c r="L3" s="32"/>
    </row>
    <row r="4" spans="1:12" ht="14.25" customHeight="1">
      <c r="A4" s="84" t="s">
        <v>1</v>
      </c>
      <c r="B4" s="86" t="s">
        <v>2</v>
      </c>
      <c r="C4" s="88" t="s">
        <v>3</v>
      </c>
      <c r="D4" s="89"/>
      <c r="E4" s="89"/>
      <c r="F4" s="90"/>
      <c r="G4" s="91" t="s">
        <v>4</v>
      </c>
      <c r="H4" s="92"/>
      <c r="I4" s="82" t="s">
        <v>5</v>
      </c>
      <c r="J4" s="82" t="s">
        <v>23</v>
      </c>
      <c r="K4" s="92" t="s">
        <v>6</v>
      </c>
      <c r="L4" s="77" t="s">
        <v>24</v>
      </c>
    </row>
    <row r="5" spans="1:12">
      <c r="A5" s="85"/>
      <c r="B5" s="87"/>
      <c r="C5" s="35" t="s">
        <v>17</v>
      </c>
      <c r="D5" s="79"/>
      <c r="E5" s="80"/>
      <c r="F5" s="81"/>
      <c r="G5" s="93"/>
      <c r="H5" s="94"/>
      <c r="I5" s="83"/>
      <c r="J5" s="83"/>
      <c r="K5" s="94"/>
      <c r="L5" s="78"/>
    </row>
    <row r="6" spans="1:12" ht="18" customHeight="1">
      <c r="A6" s="36" t="str">
        <f>IF(B6="","",$F$2)</f>
        <v/>
      </c>
      <c r="B6" s="37"/>
      <c r="C6" s="38"/>
      <c r="D6" s="72"/>
      <c r="E6" s="73"/>
      <c r="F6" s="74"/>
      <c r="G6" s="75"/>
      <c r="H6" s="76"/>
      <c r="I6" s="39" t="str">
        <f>IF(OR(C6="",ISNA(VLOOKUP(C6,摘要一览!$B$5:$D$54,3,FALSE))),"",IF(VLOOKUP(C6,摘要一览!$B$5:$D$54,3,FALSE)="","",VLOOKUP(C6,摘要一览!$B$5:$D$54,3,FALSE)))</f>
        <v/>
      </c>
      <c r="J6" s="40" t="str">
        <f>IF(OR(G6="",I6=""),"",G6*I6)</f>
        <v/>
      </c>
      <c r="K6" s="28"/>
      <c r="L6" s="41"/>
    </row>
    <row r="7" spans="1:12" ht="18" customHeight="1">
      <c r="A7" s="36" t="str">
        <f t="shared" ref="A7:A43" si="0">IF(B7="","",$F$2)</f>
        <v/>
      </c>
      <c r="B7" s="37"/>
      <c r="C7" s="38"/>
      <c r="D7" s="72"/>
      <c r="E7" s="73"/>
      <c r="F7" s="74"/>
      <c r="G7" s="75"/>
      <c r="H7" s="76"/>
      <c r="I7" s="39"/>
      <c r="J7" s="40" t="str">
        <f t="shared" ref="J7:J43" si="1">IF(OR(G7="",I7=""),"",G7*I7)</f>
        <v/>
      </c>
      <c r="K7" s="28"/>
      <c r="L7" s="42" t="str">
        <f>IF(AND(I7="",K7=""),"",IF(AND(I7="",K7&lt;&gt;""),L6-K7,L6+J7-K7))</f>
        <v/>
      </c>
    </row>
    <row r="8" spans="1:12" ht="18" customHeight="1">
      <c r="A8" s="36" t="str">
        <f t="shared" si="0"/>
        <v/>
      </c>
      <c r="B8" s="37"/>
      <c r="C8" s="38"/>
      <c r="D8" s="72"/>
      <c r="E8" s="73"/>
      <c r="F8" s="74"/>
      <c r="G8" s="75"/>
      <c r="H8" s="76"/>
      <c r="I8" s="39"/>
      <c r="J8" s="40" t="str">
        <f t="shared" si="1"/>
        <v/>
      </c>
      <c r="K8" s="28"/>
      <c r="L8" s="42" t="str">
        <f t="shared" ref="L8:L43" si="2">IF(AND(I8="",K8=""),"",IF(AND(I8="",K8&lt;&gt;""),L7-K8,L7+J8-K8))</f>
        <v/>
      </c>
    </row>
    <row r="9" spans="1:12" ht="18" customHeight="1">
      <c r="A9" s="36" t="str">
        <f t="shared" si="0"/>
        <v/>
      </c>
      <c r="B9" s="37"/>
      <c r="C9" s="38"/>
      <c r="D9" s="72"/>
      <c r="E9" s="73"/>
      <c r="F9" s="74"/>
      <c r="G9" s="75"/>
      <c r="H9" s="76"/>
      <c r="I9" s="39" t="str">
        <f>IF(OR(C9="",ISNA(VLOOKUP(C9,摘要一览!$B$5:$D$54,3,FALSE))),"",IF(VLOOKUP(C9,摘要一览!$B$5:$D$54,3,FALSE)="","",VLOOKUP(C9,摘要一览!$B$5:$D$54,3,FALSE)))</f>
        <v/>
      </c>
      <c r="J9" s="40" t="str">
        <f t="shared" si="1"/>
        <v/>
      </c>
      <c r="K9" s="28"/>
      <c r="L9" s="42" t="str">
        <f t="shared" si="2"/>
        <v/>
      </c>
    </row>
    <row r="10" spans="1:12" ht="18" customHeight="1">
      <c r="A10" s="7" t="str">
        <f t="shared" si="0"/>
        <v/>
      </c>
      <c r="B10" s="8"/>
      <c r="C10" s="9"/>
      <c r="D10" s="62" t="str">
        <f>IF(C10="","",IF(ISNA(VLOOKUP(C10,摘要一览!$B$5:$D$54,2,FALSE)),"未注册",VLOOKUP(C10,摘要一览!$B$5:$D$54,2,FALSE)))</f>
        <v/>
      </c>
      <c r="E10" s="63"/>
      <c r="F10" s="64"/>
      <c r="G10" s="65"/>
      <c r="H10" s="66"/>
      <c r="I10" s="10" t="str">
        <f>IF(OR(C10="",ISNA(VLOOKUP(C10,摘要一览!$B$5:$D$54,3,FALSE))),"",IF(VLOOKUP(C10,摘要一览!$B$5:$D$54,3,FALSE)="","",VLOOKUP(C10,摘要一览!$B$5:$D$54,3,FALSE)))</f>
        <v/>
      </c>
      <c r="J10" s="26" t="str">
        <f t="shared" si="1"/>
        <v/>
      </c>
      <c r="K10" s="24"/>
      <c r="L10" s="11" t="str">
        <f t="shared" si="2"/>
        <v/>
      </c>
    </row>
    <row r="11" spans="1:12" ht="18" customHeight="1">
      <c r="A11" s="7" t="str">
        <f t="shared" si="0"/>
        <v/>
      </c>
      <c r="B11" s="8"/>
      <c r="C11" s="9"/>
      <c r="D11" s="62" t="str">
        <f>IF(C11="","",IF(ISNA(VLOOKUP(C11,摘要一览!$B$5:$D$54,2,FALSE)),"未注册",VLOOKUP(C11,摘要一览!$B$5:$D$54,2,FALSE)))</f>
        <v/>
      </c>
      <c r="E11" s="63"/>
      <c r="F11" s="64"/>
      <c r="G11" s="65"/>
      <c r="H11" s="66"/>
      <c r="I11" s="10" t="str">
        <f>IF(OR(C11="",ISNA(VLOOKUP(C11,摘要一览!$B$5:$D$54,3,FALSE))),"",IF(VLOOKUP(C11,摘要一览!$B$5:$D$54,3,FALSE)="","",VLOOKUP(C11,摘要一览!$B$5:$D$54,3,FALSE)))</f>
        <v/>
      </c>
      <c r="J11" s="26" t="str">
        <f t="shared" si="1"/>
        <v/>
      </c>
      <c r="K11" s="24"/>
      <c r="L11" s="11" t="str">
        <f t="shared" si="2"/>
        <v/>
      </c>
    </row>
    <row r="12" spans="1:12" ht="18" customHeight="1">
      <c r="A12" s="7" t="str">
        <f t="shared" si="0"/>
        <v/>
      </c>
      <c r="B12" s="8"/>
      <c r="C12" s="9"/>
      <c r="D12" s="62" t="str">
        <f>IF(C12="","",IF(ISNA(VLOOKUP(C12,摘要一览!$B$5:$D$54,2,FALSE)),"未注册",VLOOKUP(C12,摘要一览!$B$5:$D$54,2,FALSE)))</f>
        <v/>
      </c>
      <c r="E12" s="63"/>
      <c r="F12" s="64"/>
      <c r="G12" s="65"/>
      <c r="H12" s="66"/>
      <c r="I12" s="10" t="str">
        <f>IF(OR(C12="",ISNA(VLOOKUP(C12,摘要一览!$B$5:$D$54,3,FALSE))),"",IF(VLOOKUP(C12,摘要一览!$B$5:$D$54,3,FALSE)="","",VLOOKUP(C12,摘要一览!$B$5:$D$54,3,FALSE)))</f>
        <v/>
      </c>
      <c r="J12" s="26" t="str">
        <f t="shared" si="1"/>
        <v/>
      </c>
      <c r="K12" s="24"/>
      <c r="L12" s="11" t="str">
        <f t="shared" si="2"/>
        <v/>
      </c>
    </row>
    <row r="13" spans="1:12" ht="18" customHeight="1">
      <c r="A13" s="7" t="str">
        <f>IF(B13="","",$F$2)</f>
        <v/>
      </c>
      <c r="B13" s="8"/>
      <c r="C13" s="9"/>
      <c r="D13" s="62" t="str">
        <f>IF(C13="","",IF(ISNA(VLOOKUP(C13,摘要一览!$B$5:$D$54,2,FALSE)),"未注册",VLOOKUP(C13,摘要一览!$B$5:$D$54,2,FALSE)))</f>
        <v/>
      </c>
      <c r="E13" s="63"/>
      <c r="F13" s="64"/>
      <c r="G13" s="65"/>
      <c r="H13" s="66"/>
      <c r="I13" s="10" t="str">
        <f>IF(OR(C13="",ISNA(VLOOKUP(C13,摘要一览!$B$5:$D$54,3,FALSE))),"",IF(VLOOKUP(C13,摘要一览!$B$5:$D$54,3,FALSE)="","",VLOOKUP(C13,摘要一览!$B$5:$D$54,3,FALSE)))</f>
        <v/>
      </c>
      <c r="J13" s="26" t="str">
        <f>IF(OR(G13="",I13=""),"",G13*I13)</f>
        <v/>
      </c>
      <c r="K13" s="24"/>
      <c r="L13" s="11" t="str">
        <f t="shared" si="2"/>
        <v/>
      </c>
    </row>
    <row r="14" spans="1:12" ht="18" customHeight="1">
      <c r="A14" s="7" t="str">
        <f t="shared" si="0"/>
        <v/>
      </c>
      <c r="B14" s="8"/>
      <c r="C14" s="9"/>
      <c r="D14" s="62" t="str">
        <f>IF(C14="","",IF(ISNA(VLOOKUP(C14,摘要一览!$B$5:$D$54,2,FALSE)),"未注册",VLOOKUP(C14,摘要一览!$B$5:$D$54,2,FALSE)))</f>
        <v/>
      </c>
      <c r="E14" s="63"/>
      <c r="F14" s="64"/>
      <c r="G14" s="65"/>
      <c r="H14" s="66"/>
      <c r="I14" s="10" t="str">
        <f>IF(OR(C14="",ISNA(VLOOKUP(C14,摘要一览!$B$5:$D$54,3,FALSE))),"",IF(VLOOKUP(C14,摘要一览!$B$5:$D$54,3,FALSE)="","",VLOOKUP(C14,摘要一览!$B$5:$D$54,3,FALSE)))</f>
        <v/>
      </c>
      <c r="J14" s="26" t="str">
        <f t="shared" si="1"/>
        <v/>
      </c>
      <c r="K14" s="24"/>
      <c r="L14" s="11" t="str">
        <f t="shared" si="2"/>
        <v/>
      </c>
    </row>
    <row r="15" spans="1:12" ht="18" customHeight="1">
      <c r="A15" s="7" t="str">
        <f t="shared" si="0"/>
        <v/>
      </c>
      <c r="B15" s="8"/>
      <c r="C15" s="9"/>
      <c r="D15" s="62" t="str">
        <f>IF(C15="","",IF(ISNA(VLOOKUP(C15,摘要一览!$B$5:$D$54,2,FALSE)),"未注册",VLOOKUP(C15,摘要一览!$B$5:$D$54,2,FALSE)))</f>
        <v/>
      </c>
      <c r="E15" s="63"/>
      <c r="F15" s="64"/>
      <c r="G15" s="65"/>
      <c r="H15" s="66"/>
      <c r="I15" s="10" t="str">
        <f>IF(OR(C15="",ISNA(VLOOKUP(C15,摘要一览!$B$5:$D$54,3,FALSE))),"",IF(VLOOKUP(C15,摘要一览!$B$5:$D$54,3,FALSE)="","",VLOOKUP(C15,摘要一览!$B$5:$D$54,3,FALSE)))</f>
        <v/>
      </c>
      <c r="J15" s="26" t="str">
        <f t="shared" si="1"/>
        <v/>
      </c>
      <c r="K15" s="24"/>
      <c r="L15" s="11" t="str">
        <f t="shared" si="2"/>
        <v/>
      </c>
    </row>
    <row r="16" spans="1:12" ht="18" customHeight="1">
      <c r="A16" s="7" t="str">
        <f t="shared" si="0"/>
        <v/>
      </c>
      <c r="B16" s="8"/>
      <c r="C16" s="9"/>
      <c r="D16" s="62" t="str">
        <f>IF(C16="","",IF(ISNA(VLOOKUP(C16,摘要一览!$B$5:$D$54,2,FALSE)),"未注册",VLOOKUP(C16,摘要一览!$B$5:$D$54,2,FALSE)))</f>
        <v/>
      </c>
      <c r="E16" s="63"/>
      <c r="F16" s="64"/>
      <c r="G16" s="65"/>
      <c r="H16" s="66"/>
      <c r="I16" s="10" t="str">
        <f>IF(OR(C16="",ISNA(VLOOKUP(C16,摘要一览!$B$5:$D$54,3,FALSE))),"",IF(VLOOKUP(C16,摘要一览!$B$5:$D$54,3,FALSE)="","",VLOOKUP(C16,摘要一览!$B$5:$D$54,3,FALSE)))</f>
        <v/>
      </c>
      <c r="J16" s="26" t="str">
        <f t="shared" si="1"/>
        <v/>
      </c>
      <c r="K16" s="24"/>
      <c r="L16" s="11" t="str">
        <f t="shared" si="2"/>
        <v/>
      </c>
    </row>
    <row r="17" spans="1:12" ht="18" customHeight="1">
      <c r="A17" s="7" t="str">
        <f t="shared" si="0"/>
        <v/>
      </c>
      <c r="B17" s="8"/>
      <c r="C17" s="9"/>
      <c r="D17" s="62" t="str">
        <f>IF(C17="","",IF(ISNA(VLOOKUP(C17,摘要一览!$B$5:$D$54,2,FALSE)),"未注册",VLOOKUP(C17,摘要一览!$B$5:$D$54,2,FALSE)))</f>
        <v/>
      </c>
      <c r="E17" s="63"/>
      <c r="F17" s="64"/>
      <c r="G17" s="65"/>
      <c r="H17" s="66"/>
      <c r="I17" s="10" t="str">
        <f>IF(OR(C17="",ISNA(VLOOKUP(C17,摘要一览!$B$5:$D$54,3,FALSE))),"",IF(VLOOKUP(C17,摘要一览!$B$5:$D$54,3,FALSE)="","",VLOOKUP(C17,摘要一览!$B$5:$D$54,3,FALSE)))</f>
        <v/>
      </c>
      <c r="J17" s="26" t="str">
        <f t="shared" si="1"/>
        <v/>
      </c>
      <c r="K17" s="24"/>
      <c r="L17" s="11" t="str">
        <f t="shared" si="2"/>
        <v/>
      </c>
    </row>
    <row r="18" spans="1:12" ht="18" customHeight="1">
      <c r="A18" s="7" t="str">
        <f t="shared" si="0"/>
        <v/>
      </c>
      <c r="B18" s="8"/>
      <c r="C18" s="9"/>
      <c r="D18" s="62" t="str">
        <f>IF(C18="","",IF(ISNA(VLOOKUP(C18,摘要一览!$B$5:$D$54,2,FALSE)),"未注册",VLOOKUP(C18,摘要一览!$B$5:$D$54,2,FALSE)))</f>
        <v/>
      </c>
      <c r="E18" s="63"/>
      <c r="F18" s="64"/>
      <c r="G18" s="65"/>
      <c r="H18" s="66"/>
      <c r="I18" s="10" t="str">
        <f>IF(OR(C18="",ISNA(VLOOKUP(C18,摘要一览!$B$5:$D$54,3,FALSE))),"",IF(VLOOKUP(C18,摘要一览!$B$5:$D$54,3,FALSE)="","",VLOOKUP(C18,摘要一览!$B$5:$D$54,3,FALSE)))</f>
        <v/>
      </c>
      <c r="J18" s="26" t="str">
        <f t="shared" si="1"/>
        <v/>
      </c>
      <c r="K18" s="24"/>
      <c r="L18" s="11" t="str">
        <f t="shared" si="2"/>
        <v/>
      </c>
    </row>
    <row r="19" spans="1:12" ht="18" customHeight="1">
      <c r="A19" s="7" t="str">
        <f t="shared" si="0"/>
        <v/>
      </c>
      <c r="B19" s="8"/>
      <c r="C19" s="9"/>
      <c r="D19" s="62" t="str">
        <f>IF(C19="","",IF(ISNA(VLOOKUP(C19,摘要一览!$B$5:$D$54,2,FALSE)),"未注册",VLOOKUP(C19,摘要一览!$B$5:$D$54,2,FALSE)))</f>
        <v/>
      </c>
      <c r="E19" s="63"/>
      <c r="F19" s="64"/>
      <c r="G19" s="65"/>
      <c r="H19" s="66"/>
      <c r="I19" s="10" t="str">
        <f>IF(OR(C19="",ISNA(VLOOKUP(C19,摘要一览!$B$5:$D$54,3,FALSE))),"",IF(VLOOKUP(C19,摘要一览!$B$5:$D$54,3,FALSE)="","",VLOOKUP(C19,摘要一览!$B$5:$D$54,3,FALSE)))</f>
        <v/>
      </c>
      <c r="J19" s="26" t="str">
        <f t="shared" si="1"/>
        <v/>
      </c>
      <c r="K19" s="24"/>
      <c r="L19" s="11" t="str">
        <f t="shared" si="2"/>
        <v/>
      </c>
    </row>
    <row r="20" spans="1:12" ht="18" customHeight="1">
      <c r="A20" s="7" t="str">
        <f t="shared" si="0"/>
        <v/>
      </c>
      <c r="B20" s="8"/>
      <c r="C20" s="9"/>
      <c r="D20" s="62" t="str">
        <f>IF(C20="","",IF(ISNA(VLOOKUP(C20,摘要一览!$B$5:$D$54,2,FALSE)),"未注册",VLOOKUP(C20,摘要一览!$B$5:$D$54,2,FALSE)))</f>
        <v/>
      </c>
      <c r="E20" s="63"/>
      <c r="F20" s="64"/>
      <c r="G20" s="65"/>
      <c r="H20" s="66"/>
      <c r="I20" s="10" t="str">
        <f>IF(OR(C20="",ISNA(VLOOKUP(C20,摘要一览!$B$5:$D$54,3,FALSE))),"",IF(VLOOKUP(C20,摘要一览!$B$5:$D$54,3,FALSE)="","",VLOOKUP(C20,摘要一览!$B$5:$D$54,3,FALSE)))</f>
        <v/>
      </c>
      <c r="J20" s="26" t="str">
        <f t="shared" si="1"/>
        <v/>
      </c>
      <c r="K20" s="24"/>
      <c r="L20" s="11" t="str">
        <f t="shared" si="2"/>
        <v/>
      </c>
    </row>
    <row r="21" spans="1:12" ht="18" customHeight="1">
      <c r="A21" s="7" t="str">
        <f t="shared" si="0"/>
        <v/>
      </c>
      <c r="B21" s="8"/>
      <c r="C21" s="9"/>
      <c r="D21" s="62" t="str">
        <f>IF(C21="","",IF(ISNA(VLOOKUP(C21,摘要一览!$B$5:$D$54,2,FALSE)),"未注册",VLOOKUP(C21,摘要一览!$B$5:$D$54,2,FALSE)))</f>
        <v/>
      </c>
      <c r="E21" s="63"/>
      <c r="F21" s="64"/>
      <c r="G21" s="65"/>
      <c r="H21" s="66"/>
      <c r="I21" s="10" t="str">
        <f>IF(OR(C21="",ISNA(VLOOKUP(C21,摘要一览!$B$5:$D$54,3,FALSE))),"",IF(VLOOKUP(C21,摘要一览!$B$5:$D$54,3,FALSE)="","",VLOOKUP(C21,摘要一览!$B$5:$D$54,3,FALSE)))</f>
        <v/>
      </c>
      <c r="J21" s="26" t="str">
        <f t="shared" si="1"/>
        <v/>
      </c>
      <c r="K21" s="24"/>
      <c r="L21" s="11" t="str">
        <f t="shared" si="2"/>
        <v/>
      </c>
    </row>
    <row r="22" spans="1:12" ht="18" customHeight="1">
      <c r="A22" s="7" t="str">
        <f t="shared" si="0"/>
        <v/>
      </c>
      <c r="B22" s="8"/>
      <c r="C22" s="9"/>
      <c r="D22" s="62" t="str">
        <f>IF(C22="","",IF(ISNA(VLOOKUP(C22,摘要一览!$B$5:$D$54,2,FALSE)),"未注册",VLOOKUP(C22,摘要一览!$B$5:$D$54,2,FALSE)))</f>
        <v/>
      </c>
      <c r="E22" s="63"/>
      <c r="F22" s="64"/>
      <c r="G22" s="65"/>
      <c r="H22" s="66"/>
      <c r="I22" s="10" t="str">
        <f>IF(OR(C22="",ISNA(VLOOKUP(C22,摘要一览!$B$5:$D$54,3,FALSE))),"",IF(VLOOKUP(C22,摘要一览!$B$5:$D$54,3,FALSE)="","",VLOOKUP(C22,摘要一览!$B$5:$D$54,3,FALSE)))</f>
        <v/>
      </c>
      <c r="J22" s="26" t="str">
        <f t="shared" si="1"/>
        <v/>
      </c>
      <c r="K22" s="24"/>
      <c r="L22" s="11" t="str">
        <f t="shared" si="2"/>
        <v/>
      </c>
    </row>
    <row r="23" spans="1:12" ht="18" customHeight="1">
      <c r="A23" s="7" t="str">
        <f t="shared" si="0"/>
        <v/>
      </c>
      <c r="B23" s="8"/>
      <c r="C23" s="9"/>
      <c r="D23" s="62" t="str">
        <f>IF(C23="","",IF(ISNA(VLOOKUP(C23,摘要一览!$B$5:$D$54,2,FALSE)),"未注册",VLOOKUP(C23,摘要一览!$B$5:$D$54,2,FALSE)))</f>
        <v/>
      </c>
      <c r="E23" s="63"/>
      <c r="F23" s="64"/>
      <c r="G23" s="65"/>
      <c r="H23" s="66"/>
      <c r="I23" s="10" t="str">
        <f>IF(OR(C23="",ISNA(VLOOKUP(C23,摘要一览!$B$5:$D$54,3,FALSE))),"",IF(VLOOKUP(C23,摘要一览!$B$5:$D$54,3,FALSE)="","",VLOOKUP(C23,摘要一览!$B$5:$D$54,3,FALSE)))</f>
        <v/>
      </c>
      <c r="J23" s="26" t="str">
        <f t="shared" si="1"/>
        <v/>
      </c>
      <c r="K23" s="24"/>
      <c r="L23" s="11" t="str">
        <f t="shared" si="2"/>
        <v/>
      </c>
    </row>
    <row r="24" spans="1:12" ht="18" customHeight="1">
      <c r="A24" s="7" t="str">
        <f t="shared" si="0"/>
        <v/>
      </c>
      <c r="B24" s="8"/>
      <c r="C24" s="9"/>
      <c r="D24" s="62" t="str">
        <f>IF(C24="","",IF(ISNA(VLOOKUP(C24,摘要一览!$B$5:$D$54,2,FALSE)),"未注册",VLOOKUP(C24,摘要一览!$B$5:$D$54,2,FALSE)))</f>
        <v/>
      </c>
      <c r="E24" s="63"/>
      <c r="F24" s="64"/>
      <c r="G24" s="65"/>
      <c r="H24" s="66"/>
      <c r="I24" s="10" t="str">
        <f>IF(OR(C24="",ISNA(VLOOKUP(C24,摘要一览!$B$5:$D$54,3,FALSE))),"",IF(VLOOKUP(C24,摘要一览!$B$5:$D$54,3,FALSE)="","",VLOOKUP(C24,摘要一览!$B$5:$D$54,3,FALSE)))</f>
        <v/>
      </c>
      <c r="J24" s="26" t="str">
        <f t="shared" si="1"/>
        <v/>
      </c>
      <c r="K24" s="24"/>
      <c r="L24" s="11" t="str">
        <f t="shared" si="2"/>
        <v/>
      </c>
    </row>
    <row r="25" spans="1:12" ht="18" customHeight="1">
      <c r="A25" s="7" t="str">
        <f t="shared" si="0"/>
        <v/>
      </c>
      <c r="B25" s="8"/>
      <c r="C25" s="9"/>
      <c r="D25" s="62" t="str">
        <f>IF(C25="","",IF(ISNA(VLOOKUP(C25,摘要一览!$B$5:$D$54,2,FALSE)),"未注册",VLOOKUP(C25,摘要一览!$B$5:$D$54,2,FALSE)))</f>
        <v/>
      </c>
      <c r="E25" s="63"/>
      <c r="F25" s="64"/>
      <c r="G25" s="65"/>
      <c r="H25" s="66"/>
      <c r="I25" s="10" t="str">
        <f>IF(OR(C25="",ISNA(VLOOKUP(C25,摘要一览!$B$5:$D$54,3,FALSE))),"",IF(VLOOKUP(C25,摘要一览!$B$5:$D$54,3,FALSE)="","",VLOOKUP(C25,摘要一览!$B$5:$D$54,3,FALSE)))</f>
        <v/>
      </c>
      <c r="J25" s="26" t="str">
        <f t="shared" si="1"/>
        <v/>
      </c>
      <c r="K25" s="24"/>
      <c r="L25" s="11" t="str">
        <f t="shared" si="2"/>
        <v/>
      </c>
    </row>
    <row r="26" spans="1:12" ht="18" customHeight="1">
      <c r="A26" s="7" t="str">
        <f t="shared" si="0"/>
        <v/>
      </c>
      <c r="B26" s="8"/>
      <c r="C26" s="9"/>
      <c r="D26" s="62" t="str">
        <f>IF(C26="","",IF(ISNA(VLOOKUP(C26,摘要一览!$B$5:$D$54,2,FALSE)),"未注册",VLOOKUP(C26,摘要一览!$B$5:$D$54,2,FALSE)))</f>
        <v/>
      </c>
      <c r="E26" s="63"/>
      <c r="F26" s="64"/>
      <c r="G26" s="65"/>
      <c r="H26" s="66"/>
      <c r="I26" s="10" t="str">
        <f>IF(OR(C26="",ISNA(VLOOKUP(C26,摘要一览!$B$5:$D$54,3,FALSE))),"",IF(VLOOKUP(C26,摘要一览!$B$5:$D$54,3,FALSE)="","",VLOOKUP(C26,摘要一览!$B$5:$D$54,3,FALSE)))</f>
        <v/>
      </c>
      <c r="J26" s="26" t="str">
        <f t="shared" si="1"/>
        <v/>
      </c>
      <c r="K26" s="24"/>
      <c r="L26" s="11" t="str">
        <f t="shared" si="2"/>
        <v/>
      </c>
    </row>
    <row r="27" spans="1:12" ht="18" customHeight="1">
      <c r="A27" s="7" t="str">
        <f t="shared" si="0"/>
        <v/>
      </c>
      <c r="B27" s="8"/>
      <c r="C27" s="9"/>
      <c r="D27" s="62" t="str">
        <f>IF(C27="","",IF(ISNA(VLOOKUP(C27,摘要一览!$B$5:$D$54,2,FALSE)),"未注册",VLOOKUP(C27,摘要一览!$B$5:$D$54,2,FALSE)))</f>
        <v/>
      </c>
      <c r="E27" s="63"/>
      <c r="F27" s="64"/>
      <c r="G27" s="65"/>
      <c r="H27" s="66"/>
      <c r="I27" s="10" t="str">
        <f>IF(OR(C27="",ISNA(VLOOKUP(C27,摘要一览!$B$5:$D$54,3,FALSE))),"",IF(VLOOKUP(C27,摘要一览!$B$5:$D$54,3,FALSE)="","",VLOOKUP(C27,摘要一览!$B$5:$D$54,3,FALSE)))</f>
        <v/>
      </c>
      <c r="J27" s="26" t="str">
        <f t="shared" si="1"/>
        <v/>
      </c>
      <c r="K27" s="24"/>
      <c r="L27" s="11" t="str">
        <f t="shared" si="2"/>
        <v/>
      </c>
    </row>
    <row r="28" spans="1:12" ht="18" customHeight="1">
      <c r="A28" s="7" t="str">
        <f t="shared" si="0"/>
        <v/>
      </c>
      <c r="B28" s="8"/>
      <c r="C28" s="9"/>
      <c r="D28" s="62" t="str">
        <f>IF(C28="","",IF(ISNA(VLOOKUP(C28,摘要一览!$B$5:$D$54,2,FALSE)),"未注册",VLOOKUP(C28,摘要一览!$B$5:$D$54,2,FALSE)))</f>
        <v/>
      </c>
      <c r="E28" s="63"/>
      <c r="F28" s="64"/>
      <c r="G28" s="65"/>
      <c r="H28" s="66"/>
      <c r="I28" s="10" t="str">
        <f>IF(OR(C28="",ISNA(VLOOKUP(C28,摘要一览!$B$5:$D$54,3,FALSE))),"",IF(VLOOKUP(C28,摘要一览!$B$5:$D$54,3,FALSE)="","",VLOOKUP(C28,摘要一览!$B$5:$D$54,3,FALSE)))</f>
        <v/>
      </c>
      <c r="J28" s="26" t="str">
        <f t="shared" si="1"/>
        <v/>
      </c>
      <c r="K28" s="24"/>
      <c r="L28" s="11" t="str">
        <f t="shared" si="2"/>
        <v/>
      </c>
    </row>
    <row r="29" spans="1:12" ht="18" customHeight="1">
      <c r="A29" s="7" t="str">
        <f t="shared" si="0"/>
        <v/>
      </c>
      <c r="B29" s="8"/>
      <c r="C29" s="9"/>
      <c r="D29" s="62" t="str">
        <f>IF(C29="","",IF(ISNA(VLOOKUP(C29,摘要一览!$B$5:$D$54,2,FALSE)),"未注册",VLOOKUP(C29,摘要一览!$B$5:$D$54,2,FALSE)))</f>
        <v/>
      </c>
      <c r="E29" s="63"/>
      <c r="F29" s="64"/>
      <c r="G29" s="65"/>
      <c r="H29" s="66"/>
      <c r="I29" s="10" t="str">
        <f>IF(OR(C29="",ISNA(VLOOKUP(C29,摘要一览!$B$5:$D$54,3,FALSE))),"",IF(VLOOKUP(C29,摘要一览!$B$5:$D$54,3,FALSE)="","",VLOOKUP(C29,摘要一览!$B$5:$D$54,3,FALSE)))</f>
        <v/>
      </c>
      <c r="J29" s="26" t="str">
        <f t="shared" si="1"/>
        <v/>
      </c>
      <c r="K29" s="24"/>
      <c r="L29" s="11" t="str">
        <f t="shared" si="2"/>
        <v/>
      </c>
    </row>
    <row r="30" spans="1:12" ht="18" customHeight="1">
      <c r="A30" s="7" t="str">
        <f t="shared" si="0"/>
        <v/>
      </c>
      <c r="B30" s="8"/>
      <c r="C30" s="9"/>
      <c r="D30" s="62" t="str">
        <f>IF(C30="","",IF(ISNA(VLOOKUP(C30,摘要一览!$B$5:$D$54,2,FALSE)),"未注册",VLOOKUP(C30,摘要一览!$B$5:$D$54,2,FALSE)))</f>
        <v/>
      </c>
      <c r="E30" s="63"/>
      <c r="F30" s="64"/>
      <c r="G30" s="65"/>
      <c r="H30" s="66"/>
      <c r="I30" s="10" t="str">
        <f>IF(OR(C30="",ISNA(VLOOKUP(C30,摘要一览!$B$5:$D$54,3,FALSE))),"",IF(VLOOKUP(C30,摘要一览!$B$5:$D$54,3,FALSE)="","",VLOOKUP(C30,摘要一览!$B$5:$D$54,3,FALSE)))</f>
        <v/>
      </c>
      <c r="J30" s="26" t="str">
        <f t="shared" si="1"/>
        <v/>
      </c>
      <c r="K30" s="24"/>
      <c r="L30" s="11" t="str">
        <f t="shared" si="2"/>
        <v/>
      </c>
    </row>
    <row r="31" spans="1:12" ht="18" customHeight="1">
      <c r="A31" s="7" t="str">
        <f t="shared" si="0"/>
        <v/>
      </c>
      <c r="B31" s="8"/>
      <c r="C31" s="9"/>
      <c r="D31" s="62" t="str">
        <f>IF(C31="","",IF(ISNA(VLOOKUP(C31,摘要一览!$B$5:$D$54,2,FALSE)),"未注册",VLOOKUP(C31,摘要一览!$B$5:$D$54,2,FALSE)))</f>
        <v/>
      </c>
      <c r="E31" s="63"/>
      <c r="F31" s="64"/>
      <c r="G31" s="65"/>
      <c r="H31" s="66"/>
      <c r="I31" s="10" t="str">
        <f>IF(OR(C31="",ISNA(VLOOKUP(C31,摘要一览!$B$5:$D$54,3,FALSE))),"",IF(VLOOKUP(C31,摘要一览!$B$5:$D$54,3,FALSE)="","",VLOOKUP(C31,摘要一览!$B$5:$D$54,3,FALSE)))</f>
        <v/>
      </c>
      <c r="J31" s="26" t="str">
        <f t="shared" si="1"/>
        <v/>
      </c>
      <c r="K31" s="24"/>
      <c r="L31" s="11" t="str">
        <f t="shared" si="2"/>
        <v/>
      </c>
    </row>
    <row r="32" spans="1:12" ht="18" customHeight="1">
      <c r="A32" s="7" t="str">
        <f t="shared" si="0"/>
        <v/>
      </c>
      <c r="B32" s="8"/>
      <c r="C32" s="9"/>
      <c r="D32" s="62" t="str">
        <f>IF(C32="","",IF(ISNA(VLOOKUP(C32,摘要一览!$B$5:$D$54,2,FALSE)),"未注册",VLOOKUP(C32,摘要一览!$B$5:$D$54,2,FALSE)))</f>
        <v/>
      </c>
      <c r="E32" s="63"/>
      <c r="F32" s="64"/>
      <c r="G32" s="65"/>
      <c r="H32" s="66"/>
      <c r="I32" s="10" t="str">
        <f>IF(OR(C32="",ISNA(VLOOKUP(C32,摘要一览!$B$5:$D$54,3,FALSE))),"",IF(VLOOKUP(C32,摘要一览!$B$5:$D$54,3,FALSE)="","",VLOOKUP(C32,摘要一览!$B$5:$D$54,3,FALSE)))</f>
        <v/>
      </c>
      <c r="J32" s="26" t="str">
        <f t="shared" si="1"/>
        <v/>
      </c>
      <c r="K32" s="24"/>
      <c r="L32" s="11" t="str">
        <f t="shared" si="2"/>
        <v/>
      </c>
    </row>
    <row r="33" spans="1:12" ht="18" customHeight="1">
      <c r="A33" s="7" t="str">
        <f t="shared" si="0"/>
        <v/>
      </c>
      <c r="B33" s="8"/>
      <c r="C33" s="9"/>
      <c r="D33" s="62" t="str">
        <f>IF(C33="","",IF(ISNA(VLOOKUP(C33,摘要一览!$B$5:$D$54,2,FALSE)),"未注册",VLOOKUP(C33,摘要一览!$B$5:$D$54,2,FALSE)))</f>
        <v/>
      </c>
      <c r="E33" s="63"/>
      <c r="F33" s="64"/>
      <c r="G33" s="65"/>
      <c r="H33" s="66"/>
      <c r="I33" s="10" t="str">
        <f>IF(OR(C33="",ISNA(VLOOKUP(C33,摘要一览!$B$5:$D$54,3,FALSE))),"",IF(VLOOKUP(C33,摘要一览!$B$5:$D$54,3,FALSE)="","",VLOOKUP(C33,摘要一览!$B$5:$D$54,3,FALSE)))</f>
        <v/>
      </c>
      <c r="J33" s="26" t="str">
        <f t="shared" si="1"/>
        <v/>
      </c>
      <c r="K33" s="24"/>
      <c r="L33" s="11" t="str">
        <f t="shared" si="2"/>
        <v/>
      </c>
    </row>
    <row r="34" spans="1:12" ht="18" customHeight="1">
      <c r="A34" s="7" t="str">
        <f t="shared" si="0"/>
        <v/>
      </c>
      <c r="B34" s="8"/>
      <c r="C34" s="9"/>
      <c r="D34" s="62" t="str">
        <f>IF(C34="","",IF(ISNA(VLOOKUP(C34,摘要一览!$B$5:$D$54,2,FALSE)),"未注册",VLOOKUP(C34,摘要一览!$B$5:$D$54,2,FALSE)))</f>
        <v/>
      </c>
      <c r="E34" s="63"/>
      <c r="F34" s="64"/>
      <c r="G34" s="65"/>
      <c r="H34" s="66"/>
      <c r="I34" s="10" t="str">
        <f>IF(OR(C34="",ISNA(VLOOKUP(C34,摘要一览!$B$5:$D$54,3,FALSE))),"",IF(VLOOKUP(C34,摘要一览!$B$5:$D$54,3,FALSE)="","",VLOOKUP(C34,摘要一览!$B$5:$D$54,3,FALSE)))</f>
        <v/>
      </c>
      <c r="J34" s="26" t="str">
        <f t="shared" si="1"/>
        <v/>
      </c>
      <c r="K34" s="24"/>
      <c r="L34" s="11" t="str">
        <f t="shared" si="2"/>
        <v/>
      </c>
    </row>
    <row r="35" spans="1:12" ht="18" customHeight="1">
      <c r="A35" s="7" t="str">
        <f t="shared" si="0"/>
        <v/>
      </c>
      <c r="B35" s="8"/>
      <c r="C35" s="9"/>
      <c r="D35" s="62" t="str">
        <f>IF(C35="","",IF(ISNA(VLOOKUP(C35,摘要一览!$B$5:$D$54,2,FALSE)),"未注册",VLOOKUP(C35,摘要一览!$B$5:$D$54,2,FALSE)))</f>
        <v/>
      </c>
      <c r="E35" s="63"/>
      <c r="F35" s="64"/>
      <c r="G35" s="65"/>
      <c r="H35" s="66"/>
      <c r="I35" s="10" t="str">
        <f>IF(OR(C35="",ISNA(VLOOKUP(C35,摘要一览!$B$5:$D$54,3,FALSE))),"",IF(VLOOKUP(C35,摘要一览!$B$5:$D$54,3,FALSE)="","",VLOOKUP(C35,摘要一览!$B$5:$D$54,3,FALSE)))</f>
        <v/>
      </c>
      <c r="J35" s="26" t="str">
        <f t="shared" si="1"/>
        <v/>
      </c>
      <c r="K35" s="24"/>
      <c r="L35" s="11" t="str">
        <f t="shared" si="2"/>
        <v/>
      </c>
    </row>
    <row r="36" spans="1:12" ht="18" customHeight="1">
      <c r="A36" s="7" t="str">
        <f t="shared" si="0"/>
        <v/>
      </c>
      <c r="B36" s="8"/>
      <c r="C36" s="9"/>
      <c r="D36" s="62" t="str">
        <f>IF(C36="","",IF(ISNA(VLOOKUP(C36,摘要一览!$B$5:$D$54,2,FALSE)),"未注册",VLOOKUP(C36,摘要一览!$B$5:$D$54,2,FALSE)))</f>
        <v/>
      </c>
      <c r="E36" s="63"/>
      <c r="F36" s="64"/>
      <c r="G36" s="65"/>
      <c r="H36" s="66"/>
      <c r="I36" s="10" t="str">
        <f>IF(OR(C36="",ISNA(VLOOKUP(C36,摘要一览!$B$5:$D$54,3,FALSE))),"",IF(VLOOKUP(C36,摘要一览!$B$5:$D$54,3,FALSE)="","",VLOOKUP(C36,摘要一览!$B$5:$D$54,3,FALSE)))</f>
        <v/>
      </c>
      <c r="J36" s="26" t="str">
        <f t="shared" si="1"/>
        <v/>
      </c>
      <c r="K36" s="24"/>
      <c r="L36" s="11" t="str">
        <f t="shared" si="2"/>
        <v/>
      </c>
    </row>
    <row r="37" spans="1:12" ht="18" customHeight="1">
      <c r="A37" s="7" t="str">
        <f t="shared" si="0"/>
        <v/>
      </c>
      <c r="B37" s="8"/>
      <c r="C37" s="9"/>
      <c r="D37" s="62" t="str">
        <f>IF(C37="","",IF(ISNA(VLOOKUP(C37,摘要一览!$B$5:$D$54,2,FALSE)),"未注册",VLOOKUP(C37,摘要一览!$B$5:$D$54,2,FALSE)))</f>
        <v/>
      </c>
      <c r="E37" s="63"/>
      <c r="F37" s="64"/>
      <c r="G37" s="65"/>
      <c r="H37" s="66"/>
      <c r="I37" s="10" t="str">
        <f>IF(OR(C37="",ISNA(VLOOKUP(C37,摘要一览!$B$5:$D$54,3,FALSE))),"",IF(VLOOKUP(C37,摘要一览!$B$5:$D$54,3,FALSE)="","",VLOOKUP(C37,摘要一览!$B$5:$D$54,3,FALSE)))</f>
        <v/>
      </c>
      <c r="J37" s="26" t="str">
        <f t="shared" si="1"/>
        <v/>
      </c>
      <c r="K37" s="24"/>
      <c r="L37" s="11" t="str">
        <f t="shared" si="2"/>
        <v/>
      </c>
    </row>
    <row r="38" spans="1:12" ht="18" customHeight="1">
      <c r="A38" s="7" t="str">
        <f t="shared" si="0"/>
        <v/>
      </c>
      <c r="B38" s="8"/>
      <c r="C38" s="9"/>
      <c r="D38" s="62" t="str">
        <f>IF(C38="","",IF(ISNA(VLOOKUP(C38,摘要一览!$B$5:$D$54,2,FALSE)),"未注册",VLOOKUP(C38,摘要一览!$B$5:$D$54,2,FALSE)))</f>
        <v/>
      </c>
      <c r="E38" s="63"/>
      <c r="F38" s="64"/>
      <c r="G38" s="65"/>
      <c r="H38" s="66"/>
      <c r="I38" s="10" t="str">
        <f>IF(OR(C38="",ISNA(VLOOKUP(C38,摘要一览!$B$5:$D$54,3,FALSE))),"",IF(VLOOKUP(C38,摘要一览!$B$5:$D$54,3,FALSE)="","",VLOOKUP(C38,摘要一览!$B$5:$D$54,3,FALSE)))</f>
        <v/>
      </c>
      <c r="J38" s="26" t="str">
        <f t="shared" si="1"/>
        <v/>
      </c>
      <c r="K38" s="24"/>
      <c r="L38" s="11" t="str">
        <f t="shared" si="2"/>
        <v/>
      </c>
    </row>
    <row r="39" spans="1:12" ht="18" customHeight="1">
      <c r="A39" s="7" t="str">
        <f t="shared" si="0"/>
        <v/>
      </c>
      <c r="B39" s="8"/>
      <c r="C39" s="9"/>
      <c r="D39" s="62" t="str">
        <f>IF(C39="","",IF(ISNA(VLOOKUP(C39,摘要一览!$B$5:$D$54,2,FALSE)),"未注册",VLOOKUP(C39,摘要一览!$B$5:$D$54,2,FALSE)))</f>
        <v/>
      </c>
      <c r="E39" s="63"/>
      <c r="F39" s="64"/>
      <c r="G39" s="65"/>
      <c r="H39" s="66"/>
      <c r="I39" s="10" t="str">
        <f>IF(OR(C39="",ISNA(VLOOKUP(C39,摘要一览!$B$5:$D$54,3,FALSE))),"",IF(VLOOKUP(C39,摘要一览!$B$5:$D$54,3,FALSE)="","",VLOOKUP(C39,摘要一览!$B$5:$D$54,3,FALSE)))</f>
        <v/>
      </c>
      <c r="J39" s="26" t="str">
        <f t="shared" si="1"/>
        <v/>
      </c>
      <c r="K39" s="24"/>
      <c r="L39" s="11" t="str">
        <f t="shared" si="2"/>
        <v/>
      </c>
    </row>
    <row r="40" spans="1:12" ht="18" customHeight="1">
      <c r="A40" s="7" t="str">
        <f t="shared" si="0"/>
        <v/>
      </c>
      <c r="B40" s="8"/>
      <c r="C40" s="9"/>
      <c r="D40" s="62" t="str">
        <f>IF(C40="","",IF(ISNA(VLOOKUP(C40,摘要一览!$B$5:$D$54,2,FALSE)),"未注册",VLOOKUP(C40,摘要一览!$B$5:$D$54,2,FALSE)))</f>
        <v/>
      </c>
      <c r="E40" s="63"/>
      <c r="F40" s="64"/>
      <c r="G40" s="65"/>
      <c r="H40" s="66"/>
      <c r="I40" s="10" t="str">
        <f>IF(OR(C40="",ISNA(VLOOKUP(C40,摘要一览!$B$5:$D$54,3,FALSE))),"",IF(VLOOKUP(C40,摘要一览!$B$5:$D$54,3,FALSE)="","",VLOOKUP(C40,摘要一览!$B$5:$D$54,3,FALSE)))</f>
        <v/>
      </c>
      <c r="J40" s="26" t="str">
        <f t="shared" si="1"/>
        <v/>
      </c>
      <c r="K40" s="24"/>
      <c r="L40" s="11" t="str">
        <f t="shared" si="2"/>
        <v/>
      </c>
    </row>
    <row r="41" spans="1:12" ht="18" customHeight="1">
      <c r="A41" s="7" t="str">
        <f t="shared" si="0"/>
        <v/>
      </c>
      <c r="B41" s="8"/>
      <c r="C41" s="9"/>
      <c r="D41" s="62" t="str">
        <f>IF(C41="","",IF(ISNA(VLOOKUP(C41,摘要一览!$B$5:$D$54,2,FALSE)),"未注册",VLOOKUP(C41,摘要一览!$B$5:$D$54,2,FALSE)))</f>
        <v/>
      </c>
      <c r="E41" s="63"/>
      <c r="F41" s="64"/>
      <c r="G41" s="65"/>
      <c r="H41" s="66"/>
      <c r="I41" s="10" t="str">
        <f>IF(OR(C41="",ISNA(VLOOKUP(C41,摘要一览!$B$5:$D$54,3,FALSE))),"",IF(VLOOKUP(C41,摘要一览!$B$5:$D$54,3,FALSE)="","",VLOOKUP(C41,摘要一览!$B$5:$D$54,3,FALSE)))</f>
        <v/>
      </c>
      <c r="J41" s="26" t="str">
        <f t="shared" si="1"/>
        <v/>
      </c>
      <c r="K41" s="24"/>
      <c r="L41" s="11" t="str">
        <f t="shared" si="2"/>
        <v/>
      </c>
    </row>
    <row r="42" spans="1:12" ht="18" customHeight="1">
      <c r="A42" s="7" t="str">
        <f t="shared" si="0"/>
        <v/>
      </c>
      <c r="B42" s="8"/>
      <c r="C42" s="9"/>
      <c r="D42" s="62" t="str">
        <f>IF(C42="","",IF(ISNA(VLOOKUP(C42,摘要一览!$B$5:$D$54,2,FALSE)),"未注册",VLOOKUP(C42,摘要一览!$B$5:$D$54,2,FALSE)))</f>
        <v/>
      </c>
      <c r="E42" s="63"/>
      <c r="F42" s="64"/>
      <c r="G42" s="65"/>
      <c r="H42" s="66"/>
      <c r="I42" s="10" t="str">
        <f>IF(OR(C42="",ISNA(VLOOKUP(C42,摘要一览!$B$5:$D$54,3,FALSE))),"",IF(VLOOKUP(C42,摘要一览!$B$5:$D$54,3,FALSE)="","",VLOOKUP(C42,摘要一览!$B$5:$D$54,3,FALSE)))</f>
        <v/>
      </c>
      <c r="J42" s="26" t="str">
        <f t="shared" si="1"/>
        <v/>
      </c>
      <c r="K42" s="24"/>
      <c r="L42" s="11" t="str">
        <f t="shared" si="2"/>
        <v/>
      </c>
    </row>
    <row r="43" spans="1:12" ht="18" customHeight="1" thickBot="1">
      <c r="A43" s="12" t="str">
        <f t="shared" si="0"/>
        <v/>
      </c>
      <c r="B43" s="13"/>
      <c r="C43" s="14"/>
      <c r="D43" s="67" t="str">
        <f>IF(C43="","",IF(ISNA(VLOOKUP(C43,摘要一览!$B$5:$D$54,2,FALSE)),"未注册",VLOOKUP(C43,摘要一览!$B$5:$D$54,2,FALSE)))</f>
        <v/>
      </c>
      <c r="E43" s="68"/>
      <c r="F43" s="69"/>
      <c r="G43" s="70"/>
      <c r="H43" s="71"/>
      <c r="I43" s="15" t="str">
        <f>IF(OR(C43="",ISNA(VLOOKUP(C43,摘要一览!$B$5:$D$54,3,FALSE))),"",IF(VLOOKUP(C43,摘要一览!$B$5:$D$54,3,FALSE)="","",VLOOKUP(C43,摘要一览!$B$5:$D$54,3,FALSE)))</f>
        <v/>
      </c>
      <c r="J43" s="27" t="str">
        <f t="shared" si="1"/>
        <v/>
      </c>
      <c r="K43" s="25"/>
      <c r="L43" s="16" t="str">
        <f t="shared" si="2"/>
        <v/>
      </c>
    </row>
  </sheetData>
  <mergeCells count="87">
    <mergeCell ref="B1:C1"/>
    <mergeCell ref="I2:K2"/>
    <mergeCell ref="I4:I5"/>
    <mergeCell ref="K4:K5"/>
    <mergeCell ref="D7:F7"/>
    <mergeCell ref="G7:H7"/>
    <mergeCell ref="A4:A5"/>
    <mergeCell ref="B4:B5"/>
    <mergeCell ref="C4:F4"/>
    <mergeCell ref="G4:H5"/>
    <mergeCell ref="D13:F13"/>
    <mergeCell ref="G13:H13"/>
    <mergeCell ref="D8:F8"/>
    <mergeCell ref="G8:H8"/>
    <mergeCell ref="D9:F9"/>
    <mergeCell ref="G9:H9"/>
    <mergeCell ref="D10:F10"/>
    <mergeCell ref="G10:H10"/>
    <mergeCell ref="L4:L5"/>
    <mergeCell ref="D5:F5"/>
    <mergeCell ref="D6:F6"/>
    <mergeCell ref="G6:H6"/>
    <mergeCell ref="J4:J5"/>
    <mergeCell ref="D14:F14"/>
    <mergeCell ref="G14:H14"/>
    <mergeCell ref="D15:F15"/>
    <mergeCell ref="G15:H15"/>
    <mergeCell ref="D11:F11"/>
    <mergeCell ref="G11:H11"/>
    <mergeCell ref="D12:F12"/>
    <mergeCell ref="G12:H12"/>
    <mergeCell ref="D18:F18"/>
    <mergeCell ref="G18:H18"/>
    <mergeCell ref="D19:F19"/>
    <mergeCell ref="G19:H19"/>
    <mergeCell ref="D16:F16"/>
    <mergeCell ref="G16:H16"/>
    <mergeCell ref="D17:F17"/>
    <mergeCell ref="G17:H17"/>
    <mergeCell ref="D22:F22"/>
    <mergeCell ref="G22:H22"/>
    <mergeCell ref="D23:F23"/>
    <mergeCell ref="G23:H23"/>
    <mergeCell ref="D20:F20"/>
    <mergeCell ref="G20:H20"/>
    <mergeCell ref="D21:F21"/>
    <mergeCell ref="G21:H21"/>
    <mergeCell ref="D26:F26"/>
    <mergeCell ref="G26:H26"/>
    <mergeCell ref="D27:F27"/>
    <mergeCell ref="G27:H27"/>
    <mergeCell ref="D24:F24"/>
    <mergeCell ref="G24:H24"/>
    <mergeCell ref="D25:F25"/>
    <mergeCell ref="G25:H25"/>
    <mergeCell ref="D30:F30"/>
    <mergeCell ref="G30:H30"/>
    <mergeCell ref="D31:F31"/>
    <mergeCell ref="G31:H31"/>
    <mergeCell ref="D28:F28"/>
    <mergeCell ref="G28:H28"/>
    <mergeCell ref="D29:F29"/>
    <mergeCell ref="G29:H29"/>
    <mergeCell ref="D34:F34"/>
    <mergeCell ref="G34:H34"/>
    <mergeCell ref="D35:F35"/>
    <mergeCell ref="G35:H35"/>
    <mergeCell ref="D32:F32"/>
    <mergeCell ref="G32:H32"/>
    <mergeCell ref="D33:F33"/>
    <mergeCell ref="G33:H33"/>
    <mergeCell ref="D38:F38"/>
    <mergeCell ref="G38:H38"/>
    <mergeCell ref="D39:F39"/>
    <mergeCell ref="G39:H39"/>
    <mergeCell ref="D36:F36"/>
    <mergeCell ref="G36:H36"/>
    <mergeCell ref="D37:F37"/>
    <mergeCell ref="G37:H37"/>
    <mergeCell ref="D42:F42"/>
    <mergeCell ref="G42:H42"/>
    <mergeCell ref="D43:F43"/>
    <mergeCell ref="G43:H43"/>
    <mergeCell ref="D40:F40"/>
    <mergeCell ref="G40:H40"/>
    <mergeCell ref="D41:F41"/>
    <mergeCell ref="G41:H41"/>
  </mergeCells>
  <phoneticPr fontId="2"/>
  <dataValidations count="2">
    <dataValidation imeMode="off" allowBlank="1" showInputMessage="1" showErrorMessage="1" sqref="B2 D2 B1:C1 F2 A6:C43 G6:L43"/>
    <dataValidation imeMode="on" allowBlank="1" showInputMessage="1" showErrorMessage="1" sqref="G2 I2:K2 E2 D6:F43"/>
  </dataValidations>
  <printOptions horizontalCentered="1"/>
  <pageMargins left="0.78740157480314965" right="0.78740157480314965" top="0.98425196850393704" bottom="0.98425196850393704" header="0.51181102362204722" footer="0.51181102362204722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3"/>
  </sheetPr>
  <dimension ref="A1:D54"/>
  <sheetViews>
    <sheetView workbookViewId="0">
      <selection activeCell="B6" sqref="B6"/>
    </sheetView>
  </sheetViews>
  <sheetFormatPr defaultRowHeight="13.5"/>
  <cols>
    <col min="1" max="1" width="2.625" customWidth="1"/>
    <col min="3" max="3" width="16.875" customWidth="1"/>
    <col min="4" max="4" width="14.625" customWidth="1"/>
    <col min="5" max="16384" width="9" style="1"/>
  </cols>
  <sheetData>
    <row r="1" spans="1:4">
      <c r="A1" s="43"/>
      <c r="B1" s="44" t="s">
        <v>21</v>
      </c>
      <c r="C1" s="43"/>
      <c r="D1" s="43"/>
    </row>
    <row r="2" spans="1:4">
      <c r="A2" s="43"/>
      <c r="B2" s="44" t="s">
        <v>7</v>
      </c>
      <c r="C2" s="43"/>
      <c r="D2" s="43"/>
    </row>
    <row r="3" spans="1:4">
      <c r="A3" s="43"/>
      <c r="B3" s="44"/>
      <c r="C3" s="43"/>
      <c r="D3" s="43"/>
    </row>
    <row r="4" spans="1:4" ht="30" customHeight="1">
      <c r="A4" s="45"/>
      <c r="B4" s="97" t="s">
        <v>8</v>
      </c>
      <c r="C4" s="97"/>
      <c r="D4" s="97"/>
    </row>
    <row r="5" spans="1:4">
      <c r="A5" s="45"/>
      <c r="B5" s="46" t="s">
        <v>9</v>
      </c>
      <c r="C5" s="46" t="s">
        <v>3</v>
      </c>
      <c r="D5" s="46" t="s">
        <v>5</v>
      </c>
    </row>
    <row r="6" spans="1:4">
      <c r="A6" s="45"/>
      <c r="B6" s="47">
        <v>1</v>
      </c>
      <c r="C6" s="48" t="s">
        <v>10</v>
      </c>
      <c r="D6" s="49"/>
    </row>
    <row r="7" spans="1:4">
      <c r="A7" s="45"/>
      <c r="B7" s="47">
        <v>2</v>
      </c>
      <c r="C7" s="48" t="s">
        <v>11</v>
      </c>
      <c r="D7" s="49"/>
    </row>
    <row r="8" spans="1:4">
      <c r="A8" s="45"/>
      <c r="B8" s="47">
        <v>3</v>
      </c>
      <c r="C8" s="48" t="s">
        <v>12</v>
      </c>
      <c r="D8" s="49"/>
    </row>
    <row r="9" spans="1:4">
      <c r="A9" s="45"/>
      <c r="B9" s="47">
        <v>4</v>
      </c>
      <c r="C9" s="48" t="s">
        <v>13</v>
      </c>
      <c r="D9" s="49"/>
    </row>
    <row r="10" spans="1:4">
      <c r="A10" s="45"/>
      <c r="B10" s="47">
        <v>5</v>
      </c>
      <c r="C10" s="48" t="s">
        <v>14</v>
      </c>
      <c r="D10" s="49"/>
    </row>
    <row r="11" spans="1:4">
      <c r="A11" s="45"/>
      <c r="B11" s="47">
        <v>100</v>
      </c>
      <c r="C11" s="48" t="s">
        <v>20</v>
      </c>
      <c r="D11" s="49">
        <v>12000</v>
      </c>
    </row>
    <row r="12" spans="1:4">
      <c r="A12" s="45"/>
      <c r="B12" s="47">
        <v>101</v>
      </c>
      <c r="C12" s="48" t="s">
        <v>15</v>
      </c>
      <c r="D12" s="49">
        <v>38000</v>
      </c>
    </row>
    <row r="13" spans="1:4">
      <c r="A13" s="1"/>
      <c r="B13" s="2"/>
      <c r="C13" s="4"/>
      <c r="D13" s="17"/>
    </row>
    <row r="14" spans="1:4">
      <c r="A14" s="1"/>
      <c r="B14" s="2"/>
      <c r="C14" s="4"/>
      <c r="D14" s="17"/>
    </row>
    <row r="15" spans="1:4">
      <c r="A15" s="1"/>
      <c r="B15" s="2"/>
      <c r="C15" s="4"/>
      <c r="D15" s="17"/>
    </row>
    <row r="16" spans="1:4">
      <c r="A16" s="1"/>
      <c r="B16" s="2"/>
      <c r="C16" s="4"/>
      <c r="D16" s="17"/>
    </row>
    <row r="17" spans="1:4">
      <c r="A17" s="1"/>
      <c r="B17" s="2"/>
      <c r="C17" s="4"/>
      <c r="D17" s="17"/>
    </row>
    <row r="18" spans="1:4">
      <c r="A18" s="1"/>
      <c r="B18" s="2"/>
      <c r="C18" s="4"/>
      <c r="D18" s="17"/>
    </row>
    <row r="19" spans="1:4">
      <c r="A19" s="1"/>
      <c r="B19" s="2"/>
      <c r="C19" s="4"/>
      <c r="D19" s="17"/>
    </row>
    <row r="20" spans="1:4">
      <c r="A20" s="1"/>
      <c r="B20" s="2"/>
      <c r="C20" s="4"/>
      <c r="D20" s="17"/>
    </row>
    <row r="21" spans="1:4">
      <c r="A21" s="1"/>
      <c r="B21" s="2"/>
      <c r="C21" s="4"/>
      <c r="D21" s="17"/>
    </row>
    <row r="22" spans="1:4">
      <c r="A22" s="1"/>
      <c r="B22" s="2"/>
      <c r="C22" s="4"/>
      <c r="D22" s="17"/>
    </row>
    <row r="23" spans="1:4">
      <c r="A23" s="1"/>
      <c r="B23" s="2"/>
      <c r="C23" s="4"/>
      <c r="D23" s="17"/>
    </row>
    <row r="24" spans="1:4">
      <c r="A24" s="1"/>
      <c r="B24" s="2"/>
      <c r="C24" s="4"/>
      <c r="D24" s="17"/>
    </row>
    <row r="25" spans="1:4">
      <c r="A25" s="1"/>
      <c r="B25" s="2"/>
      <c r="C25" s="4"/>
      <c r="D25" s="17"/>
    </row>
    <row r="26" spans="1:4">
      <c r="A26" s="1"/>
      <c r="B26" s="2"/>
      <c r="C26" s="4"/>
      <c r="D26" s="17"/>
    </row>
    <row r="27" spans="1:4">
      <c r="A27" s="1"/>
      <c r="B27" s="2"/>
      <c r="C27" s="4"/>
      <c r="D27" s="17"/>
    </row>
    <row r="28" spans="1:4">
      <c r="A28" s="1"/>
      <c r="B28" s="2"/>
      <c r="C28" s="4"/>
      <c r="D28" s="17"/>
    </row>
    <row r="29" spans="1:4">
      <c r="A29" s="1"/>
      <c r="B29" s="2"/>
      <c r="C29" s="4"/>
      <c r="D29" s="17"/>
    </row>
    <row r="30" spans="1:4">
      <c r="A30" s="1"/>
      <c r="B30" s="2"/>
      <c r="C30" s="4"/>
      <c r="D30" s="17"/>
    </row>
    <row r="31" spans="1:4">
      <c r="A31" s="1"/>
      <c r="B31" s="2"/>
      <c r="C31" s="4"/>
      <c r="D31" s="17"/>
    </row>
    <row r="32" spans="1:4">
      <c r="A32" s="1"/>
      <c r="B32" s="2"/>
      <c r="C32" s="4"/>
      <c r="D32" s="17"/>
    </row>
    <row r="33" spans="1:4">
      <c r="A33" s="1"/>
      <c r="B33" s="2"/>
      <c r="C33" s="4"/>
      <c r="D33" s="17"/>
    </row>
    <row r="34" spans="1:4">
      <c r="A34" s="1"/>
      <c r="B34" s="2"/>
      <c r="C34" s="4"/>
      <c r="D34" s="17"/>
    </row>
    <row r="35" spans="1:4">
      <c r="A35" s="1"/>
      <c r="B35" s="2"/>
      <c r="C35" s="4"/>
      <c r="D35" s="17"/>
    </row>
    <row r="36" spans="1:4">
      <c r="A36" s="1"/>
      <c r="B36" s="2"/>
      <c r="C36" s="4"/>
      <c r="D36" s="17"/>
    </row>
    <row r="37" spans="1:4">
      <c r="A37" s="1"/>
      <c r="B37" s="2"/>
      <c r="C37" s="4"/>
      <c r="D37" s="17"/>
    </row>
    <row r="38" spans="1:4">
      <c r="A38" s="1"/>
      <c r="B38" s="2"/>
      <c r="C38" s="4"/>
      <c r="D38" s="17"/>
    </row>
    <row r="39" spans="1:4">
      <c r="A39" s="1"/>
      <c r="B39" s="2"/>
      <c r="C39" s="4"/>
      <c r="D39" s="17"/>
    </row>
    <row r="40" spans="1:4">
      <c r="A40" s="1"/>
      <c r="B40" s="2"/>
      <c r="C40" s="4"/>
      <c r="D40" s="17"/>
    </row>
    <row r="41" spans="1:4">
      <c r="A41" s="1"/>
      <c r="B41" s="2"/>
      <c r="C41" s="4"/>
      <c r="D41" s="17"/>
    </row>
    <row r="42" spans="1:4">
      <c r="A42" s="1"/>
      <c r="B42" s="2"/>
      <c r="C42" s="4"/>
      <c r="D42" s="17"/>
    </row>
    <row r="43" spans="1:4">
      <c r="A43" s="1"/>
      <c r="B43" s="2"/>
      <c r="C43" s="4"/>
      <c r="D43" s="17"/>
    </row>
    <row r="44" spans="1:4">
      <c r="A44" s="1"/>
      <c r="B44" s="2"/>
      <c r="C44" s="4"/>
      <c r="D44" s="17"/>
    </row>
    <row r="45" spans="1:4">
      <c r="A45" s="1"/>
      <c r="B45" s="2"/>
      <c r="C45" s="4"/>
      <c r="D45" s="17"/>
    </row>
    <row r="46" spans="1:4">
      <c r="A46" s="1"/>
      <c r="B46" s="2"/>
      <c r="C46" s="4"/>
      <c r="D46" s="17"/>
    </row>
    <row r="47" spans="1:4">
      <c r="A47" s="1"/>
      <c r="B47" s="2"/>
      <c r="C47" s="4"/>
      <c r="D47" s="17"/>
    </row>
    <row r="48" spans="1:4">
      <c r="A48" s="1"/>
      <c r="B48" s="2"/>
      <c r="C48" s="4"/>
      <c r="D48" s="17"/>
    </row>
    <row r="49" spans="1:4">
      <c r="A49" s="1"/>
      <c r="B49" s="2"/>
      <c r="C49" s="4"/>
      <c r="D49" s="17"/>
    </row>
    <row r="50" spans="1:4">
      <c r="A50" s="1"/>
      <c r="B50" s="2"/>
      <c r="C50" s="4"/>
      <c r="D50" s="17"/>
    </row>
    <row r="51" spans="1:4">
      <c r="A51" s="1"/>
      <c r="B51" s="2"/>
      <c r="C51" s="4"/>
      <c r="D51" s="17"/>
    </row>
    <row r="52" spans="1:4">
      <c r="A52" s="1"/>
      <c r="B52" s="2"/>
      <c r="C52" s="4"/>
      <c r="D52" s="17"/>
    </row>
    <row r="53" spans="1:4">
      <c r="A53" s="1"/>
      <c r="B53" s="2"/>
      <c r="C53" s="3"/>
      <c r="D53" s="17"/>
    </row>
    <row r="54" spans="1:4">
      <c r="A54" s="1"/>
      <c r="B54" s="2"/>
      <c r="C54" s="5"/>
      <c r="D54" s="18"/>
    </row>
  </sheetData>
  <mergeCells count="1">
    <mergeCell ref="B4:D4"/>
  </mergeCells>
  <phoneticPr fontId="2"/>
  <dataValidations count="2">
    <dataValidation imeMode="off" allowBlank="1" showInputMessage="1" showErrorMessage="1" sqref="B6:B54 D6:D54"/>
    <dataValidation imeMode="on" allowBlank="1" showInputMessage="1" showErrorMessage="1" sqref="C6:C54"/>
  </dataValidations>
  <pageMargins left="0.78740157480314965" right="0.78740157480314965" top="0.98425196850393704" bottom="0.98425196850393704" header="0.51181102362204722" footer="0.51181102362204722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45"/>
  </sheetPr>
  <dimension ref="A1:L42"/>
  <sheetViews>
    <sheetView workbookViewId="0"/>
  </sheetViews>
  <sheetFormatPr defaultRowHeight="13.5"/>
  <cols>
    <col min="1" max="1" width="4.25" style="19" customWidth="1"/>
    <col min="2" max="2" width="3.625" style="19" customWidth="1"/>
    <col min="3" max="3" width="4.625" style="19" customWidth="1"/>
    <col min="4" max="4" width="6.5" style="19" customWidth="1"/>
    <col min="5" max="5" width="4.625" style="19" customWidth="1"/>
    <col min="6" max="6" width="3.5" style="19" customWidth="1"/>
    <col min="7" max="7" width="3.625" style="19" customWidth="1"/>
    <col min="8" max="8" width="5.625" style="19" customWidth="1"/>
    <col min="9" max="9" width="8.625" style="19" customWidth="1"/>
    <col min="10" max="11" width="10.625" style="19" customWidth="1"/>
    <col min="12" max="12" width="12.625" style="19" customWidth="1"/>
    <col min="13" max="16384" width="9" style="19"/>
  </cols>
  <sheetData>
    <row r="1" spans="1:12">
      <c r="A1" s="50" t="s">
        <v>18</v>
      </c>
      <c r="B1" s="98">
        <v>1</v>
      </c>
      <c r="C1" s="98"/>
      <c r="D1" s="51"/>
      <c r="E1" s="51"/>
      <c r="F1" s="51"/>
      <c r="G1" s="51"/>
      <c r="H1" s="51"/>
      <c r="I1" s="51"/>
      <c r="J1" s="52"/>
      <c r="K1" s="51"/>
      <c r="L1" s="51"/>
    </row>
    <row r="2" spans="1:12" ht="15" thickBot="1">
      <c r="A2" s="53"/>
      <c r="B2" s="51"/>
      <c r="C2" s="54"/>
      <c r="D2" s="55">
        <v>2005</v>
      </c>
      <c r="E2" s="55" t="s">
        <v>0</v>
      </c>
      <c r="F2" s="55">
        <v>4</v>
      </c>
      <c r="G2" s="55" t="s">
        <v>1</v>
      </c>
      <c r="H2" s="55"/>
      <c r="I2" s="99" t="s">
        <v>22</v>
      </c>
      <c r="J2" s="100"/>
      <c r="K2" s="99"/>
      <c r="L2" s="54"/>
    </row>
    <row r="3" spans="1:12" ht="15.75" thickTop="1" thickBot="1">
      <c r="A3" s="54"/>
      <c r="B3" s="54"/>
      <c r="C3" s="54"/>
      <c r="D3" s="56"/>
      <c r="E3" s="56"/>
      <c r="F3" s="56"/>
      <c r="G3" s="56"/>
      <c r="H3" s="56"/>
      <c r="I3" s="56"/>
      <c r="J3" s="57"/>
      <c r="K3" s="56"/>
      <c r="L3" s="54"/>
    </row>
    <row r="4" spans="1:12" ht="14.25" customHeight="1">
      <c r="A4" s="101" t="s">
        <v>1</v>
      </c>
      <c r="B4" s="103" t="s">
        <v>2</v>
      </c>
      <c r="C4" s="105" t="s">
        <v>3</v>
      </c>
      <c r="D4" s="106"/>
      <c r="E4" s="106"/>
      <c r="F4" s="107"/>
      <c r="G4" s="108" t="s">
        <v>4</v>
      </c>
      <c r="H4" s="109"/>
      <c r="I4" s="112" t="s">
        <v>5</v>
      </c>
      <c r="J4" s="112" t="s">
        <v>23</v>
      </c>
      <c r="K4" s="109" t="s">
        <v>6</v>
      </c>
      <c r="L4" s="114" t="s">
        <v>24</v>
      </c>
    </row>
    <row r="5" spans="1:12">
      <c r="A5" s="102"/>
      <c r="B5" s="104"/>
      <c r="C5" s="58" t="s">
        <v>17</v>
      </c>
      <c r="D5" s="116"/>
      <c r="E5" s="117"/>
      <c r="F5" s="118"/>
      <c r="G5" s="110"/>
      <c r="H5" s="111"/>
      <c r="I5" s="113"/>
      <c r="J5" s="113"/>
      <c r="K5" s="111"/>
      <c r="L5" s="115"/>
    </row>
    <row r="6" spans="1:12" ht="18" customHeight="1">
      <c r="A6" s="36">
        <f t="shared" ref="A6:A42" si="0">IF(B6="","",$F$2)</f>
        <v>4</v>
      </c>
      <c r="B6" s="59">
        <v>1</v>
      </c>
      <c r="C6" s="60">
        <v>1</v>
      </c>
      <c r="D6" s="72" t="str">
        <f>IF(C6="","",IF(ISNA(VLOOKUP(C6,摘要一览!$B$5:$D$54,2,FALSE)),"未注册",VLOOKUP(C6,摘要一览!$B$5:$D$54,2,FALSE)))</f>
        <v>前期结转</v>
      </c>
      <c r="E6" s="73"/>
      <c r="F6" s="74"/>
      <c r="G6" s="119"/>
      <c r="H6" s="120"/>
      <c r="I6" s="39" t="str">
        <f>IF(OR(C6="",ISNA(VLOOKUP(C6,摘要一览!$B$5:$D$54,3,FALSE))),"",IF(VLOOKUP(C6,摘要一览!$B$5:$D$54,3,FALSE)="","",VLOOKUP(C6,摘要一览!$B$5:$D$54,3,FALSE)))</f>
        <v/>
      </c>
      <c r="J6" s="40" t="str">
        <f t="shared" ref="J6:J42" si="1">IF(OR(G6="",I6=""),"",G6*I6)</f>
        <v/>
      </c>
      <c r="K6" s="39"/>
      <c r="L6" s="42">
        <v>15000</v>
      </c>
    </row>
    <row r="7" spans="1:12" ht="18" customHeight="1">
      <c r="A7" s="36">
        <f t="shared" si="0"/>
        <v>4</v>
      </c>
      <c r="B7" s="59">
        <v>1</v>
      </c>
      <c r="C7" s="60">
        <v>100</v>
      </c>
      <c r="D7" s="72" t="str">
        <f>IF(C7="","",IF(ISNA(VLOOKUP(C7,摘要一览!$B$5:$D$54,2,FALSE)),"未注册",VLOOKUP(C7,摘要一览!$B$5:$D$54,2,FALSE)))</f>
        <v>个人电脑</v>
      </c>
      <c r="E7" s="73"/>
      <c r="F7" s="74"/>
      <c r="G7" s="119">
        <v>6</v>
      </c>
      <c r="H7" s="120"/>
      <c r="I7" s="39">
        <f>IF(OR(C7="",ISNA(VLOOKUP(C7,摘要一览!$B$5:$D$54,3,FALSE))),"",IF(VLOOKUP(C7,摘要一览!$B$5:$D$54,3,FALSE)="","",VLOOKUP(C7,摘要一览!$B$5:$D$54,3,FALSE)))</f>
        <v>12000</v>
      </c>
      <c r="J7" s="40">
        <f t="shared" si="1"/>
        <v>72000</v>
      </c>
      <c r="K7" s="39"/>
      <c r="L7" s="42">
        <f>IF(AND(I7="",K7=""),"",IF(AND(I7="",K7&lt;&gt;""),L6-K7,L6+J7-K7))</f>
        <v>87000</v>
      </c>
    </row>
    <row r="8" spans="1:12" ht="18" customHeight="1">
      <c r="A8" s="36">
        <f t="shared" si="0"/>
        <v>4</v>
      </c>
      <c r="B8" s="59">
        <v>2</v>
      </c>
      <c r="C8" s="60">
        <v>101</v>
      </c>
      <c r="D8" s="72" t="str">
        <f>IF(C8="","",IF(ISNA(VLOOKUP(C8,摘要一览!$B$5:$D$54,2,FALSE)),"未注册",VLOOKUP(C8,摘要一览!$B$5:$D$54,2,FALSE)))</f>
        <v>打印机</v>
      </c>
      <c r="E8" s="73"/>
      <c r="F8" s="74"/>
      <c r="G8" s="119">
        <v>5</v>
      </c>
      <c r="H8" s="120"/>
      <c r="I8" s="39">
        <f>IF(OR(C8="",ISNA(VLOOKUP(C8,摘要一览!$B$5:$D$54,3,FALSE))),"",IF(VLOOKUP(C8,摘要一览!$B$5:$D$54,3,FALSE)="","",VLOOKUP(C8,摘要一览!$B$5:$D$54,3,FALSE)))</f>
        <v>38000</v>
      </c>
      <c r="J8" s="40">
        <f t="shared" si="1"/>
        <v>190000</v>
      </c>
      <c r="K8" s="39"/>
      <c r="L8" s="42">
        <f t="shared" ref="L8:L42" si="2">IF(AND(I8="",K8=""),"",IF(AND(I8="",K8&lt;&gt;""),L7-K8,L7+J8-K8))</f>
        <v>277000</v>
      </c>
    </row>
    <row r="9" spans="1:12" ht="18" customHeight="1">
      <c r="A9" s="36">
        <f t="shared" si="0"/>
        <v>4</v>
      </c>
      <c r="B9" s="59">
        <v>10</v>
      </c>
      <c r="C9" s="60">
        <v>5</v>
      </c>
      <c r="D9" s="72" t="str">
        <f>IF(C9="","",IF(ISNA(VLOOKUP(C9,摘要一览!$B$5:$D$54,2,FALSE)),"未注册",VLOOKUP(C9,摘要一览!$B$5:$D$54,2,FALSE)))</f>
        <v>银行支票存款帐号</v>
      </c>
      <c r="E9" s="73"/>
      <c r="F9" s="74"/>
      <c r="G9" s="119"/>
      <c r="H9" s="120"/>
      <c r="I9" s="39" t="str">
        <f>IF(OR(C9="",ISNA(VLOOKUP(C9,摘要一览!$B$5:$D$54,3,FALSE))),"",IF(VLOOKUP(C9,摘要一览!$B$5:$D$54,3,FALSE)="","",VLOOKUP(C9,摘要一览!$B$5:$D$54,3,FALSE)))</f>
        <v/>
      </c>
      <c r="J9" s="40" t="str">
        <f t="shared" si="1"/>
        <v/>
      </c>
      <c r="K9" s="39">
        <v>500000</v>
      </c>
      <c r="L9" s="42">
        <f t="shared" si="2"/>
        <v>-223000</v>
      </c>
    </row>
    <row r="10" spans="1:12" ht="18" customHeight="1">
      <c r="A10" s="36" t="str">
        <f t="shared" si="0"/>
        <v/>
      </c>
      <c r="B10" s="59"/>
      <c r="C10" s="61">
        <v>105</v>
      </c>
      <c r="D10" s="121" t="s">
        <v>16</v>
      </c>
      <c r="E10" s="121"/>
      <c r="F10" s="122"/>
      <c r="G10" s="119"/>
      <c r="H10" s="120"/>
      <c r="I10" s="39" t="str">
        <f>IF(OR(C10="",ISNA(VLOOKUP(C10,摘要一览!$B$5:$D$54,3,FALSE))),"",IF(VLOOKUP(C10,摘要一览!$B$5:$D$54,3,FALSE)="","",VLOOKUP(C10,摘要一览!$B$5:$D$54,3,FALSE)))</f>
        <v/>
      </c>
      <c r="J10" s="40" t="str">
        <f t="shared" si="1"/>
        <v/>
      </c>
      <c r="K10" s="39"/>
      <c r="L10" s="42" t="str">
        <f t="shared" si="2"/>
        <v/>
      </c>
    </row>
    <row r="11" spans="1:12" ht="18" customHeight="1">
      <c r="A11" s="7" t="str">
        <f t="shared" si="0"/>
        <v/>
      </c>
      <c r="B11" s="20"/>
      <c r="C11" s="21"/>
      <c r="D11" s="62" t="str">
        <f>IF(C11="","",IF(ISNA(VLOOKUP(C11,摘要一览!$B$5:$D$54,2,FALSE)),"未登録",VLOOKUP(C11,摘要一览!$B$5:$D$54,2,FALSE)))</f>
        <v/>
      </c>
      <c r="E11" s="63"/>
      <c r="F11" s="64"/>
      <c r="G11" s="123"/>
      <c r="H11" s="124"/>
      <c r="I11" s="10" t="str">
        <f>IF(OR(C11="",ISNA(VLOOKUP(C11,摘要一览!$B$5:$D$54,3,FALSE))),"",IF(VLOOKUP(C11,摘要一览!$B$5:$D$54,3,FALSE)="","",VLOOKUP(C11,摘要一览!$B$5:$D$54,3,FALSE)))</f>
        <v/>
      </c>
      <c r="J11" s="26" t="str">
        <f t="shared" si="1"/>
        <v/>
      </c>
      <c r="K11" s="10"/>
      <c r="L11" s="11" t="str">
        <f t="shared" si="2"/>
        <v/>
      </c>
    </row>
    <row r="12" spans="1:12" ht="18" customHeight="1">
      <c r="A12" s="7" t="str">
        <f t="shared" si="0"/>
        <v/>
      </c>
      <c r="B12" s="20"/>
      <c r="C12" s="21"/>
      <c r="D12" s="62" t="str">
        <f>IF(C12="","",IF(ISNA(VLOOKUP(C12,摘要一览!$B$5:$D$54,2,FALSE)),"未登録",VLOOKUP(C12,摘要一览!$B$5:$D$54,2,FALSE)))</f>
        <v/>
      </c>
      <c r="E12" s="63"/>
      <c r="F12" s="64"/>
      <c r="G12" s="123"/>
      <c r="H12" s="124"/>
      <c r="I12" s="10" t="str">
        <f>IF(OR(C12="",ISNA(VLOOKUP(C12,摘要一览!$B$5:$D$54,3,FALSE))),"",IF(VLOOKUP(C12,摘要一览!$B$5:$D$54,3,FALSE)="","",VLOOKUP(C12,摘要一览!$B$5:$D$54,3,FALSE)))</f>
        <v/>
      </c>
      <c r="J12" s="26" t="str">
        <f t="shared" si="1"/>
        <v/>
      </c>
      <c r="K12" s="10"/>
      <c r="L12" s="11" t="str">
        <f t="shared" si="2"/>
        <v/>
      </c>
    </row>
    <row r="13" spans="1:12" ht="18" customHeight="1">
      <c r="A13" s="7" t="str">
        <f t="shared" si="0"/>
        <v/>
      </c>
      <c r="B13" s="20"/>
      <c r="C13" s="21"/>
      <c r="D13" s="62" t="str">
        <f>IF(C13="","",IF(ISNA(VLOOKUP(C13,摘要一览!$B$5:$D$54,2,FALSE)),"未登録",VLOOKUP(C13,摘要一览!$B$5:$D$54,2,FALSE)))</f>
        <v/>
      </c>
      <c r="E13" s="63"/>
      <c r="F13" s="64"/>
      <c r="G13" s="123"/>
      <c r="H13" s="124"/>
      <c r="I13" s="10" t="str">
        <f>IF(OR(C13="",ISNA(VLOOKUP(C13,摘要一览!$B$5:$D$54,3,FALSE))),"",IF(VLOOKUP(C13,摘要一览!$B$5:$D$54,3,FALSE)="","",VLOOKUP(C13,摘要一览!$B$5:$D$54,3,FALSE)))</f>
        <v/>
      </c>
      <c r="J13" s="26" t="str">
        <f t="shared" si="1"/>
        <v/>
      </c>
      <c r="K13" s="10"/>
      <c r="L13" s="11" t="str">
        <f t="shared" si="2"/>
        <v/>
      </c>
    </row>
    <row r="14" spans="1:12" ht="18" customHeight="1">
      <c r="A14" s="7" t="str">
        <f t="shared" si="0"/>
        <v/>
      </c>
      <c r="B14" s="20"/>
      <c r="C14" s="21"/>
      <c r="D14" s="62" t="str">
        <f>IF(C14="","",IF(ISNA(VLOOKUP(C14,摘要一览!$B$5:$D$54,2,FALSE)),"未登録",VLOOKUP(C14,摘要一览!$B$5:$D$54,2,FALSE)))</f>
        <v/>
      </c>
      <c r="E14" s="63"/>
      <c r="F14" s="64"/>
      <c r="G14" s="123"/>
      <c r="H14" s="124"/>
      <c r="I14" s="10" t="str">
        <f>IF(OR(C14="",ISNA(VLOOKUP(C14,摘要一览!$B$5:$D$54,3,FALSE))),"",IF(VLOOKUP(C14,摘要一览!$B$5:$D$54,3,FALSE)="","",VLOOKUP(C14,摘要一览!$B$5:$D$54,3,FALSE)))</f>
        <v/>
      </c>
      <c r="J14" s="26" t="str">
        <f t="shared" si="1"/>
        <v/>
      </c>
      <c r="K14" s="10"/>
      <c r="L14" s="11" t="str">
        <f t="shared" si="2"/>
        <v/>
      </c>
    </row>
    <row r="15" spans="1:12" ht="18" customHeight="1">
      <c r="A15" s="7" t="str">
        <f t="shared" si="0"/>
        <v/>
      </c>
      <c r="B15" s="20"/>
      <c r="C15" s="21"/>
      <c r="D15" s="62" t="str">
        <f>IF(C15="","",IF(ISNA(VLOOKUP(C15,摘要一览!$B$5:$D$54,2,FALSE)),"未登録",VLOOKUP(C15,摘要一览!$B$5:$D$54,2,FALSE)))</f>
        <v/>
      </c>
      <c r="E15" s="63"/>
      <c r="F15" s="64"/>
      <c r="G15" s="123"/>
      <c r="H15" s="124"/>
      <c r="I15" s="10" t="str">
        <f>IF(OR(C15="",ISNA(VLOOKUP(C15,摘要一览!$B$5:$D$54,3,FALSE))),"",IF(VLOOKUP(C15,摘要一览!$B$5:$D$54,3,FALSE)="","",VLOOKUP(C15,摘要一览!$B$5:$D$54,3,FALSE)))</f>
        <v/>
      </c>
      <c r="J15" s="26" t="str">
        <f t="shared" si="1"/>
        <v/>
      </c>
      <c r="K15" s="10"/>
      <c r="L15" s="11" t="str">
        <f t="shared" si="2"/>
        <v/>
      </c>
    </row>
    <row r="16" spans="1:12" ht="18" customHeight="1">
      <c r="A16" s="7" t="str">
        <f t="shared" si="0"/>
        <v/>
      </c>
      <c r="B16" s="20"/>
      <c r="C16" s="21"/>
      <c r="D16" s="62" t="str">
        <f>IF(C16="","",IF(ISNA(VLOOKUP(C16,摘要一览!$B$5:$D$54,2,FALSE)),"未登録",VLOOKUP(C16,摘要一览!$B$5:$D$54,2,FALSE)))</f>
        <v/>
      </c>
      <c r="E16" s="63"/>
      <c r="F16" s="64"/>
      <c r="G16" s="123"/>
      <c r="H16" s="124"/>
      <c r="I16" s="10" t="str">
        <f>IF(OR(C16="",ISNA(VLOOKUP(C16,摘要一览!$B$5:$D$54,3,FALSE))),"",IF(VLOOKUP(C16,摘要一览!$B$5:$D$54,3,FALSE)="","",VLOOKUP(C16,摘要一览!$B$5:$D$54,3,FALSE)))</f>
        <v/>
      </c>
      <c r="J16" s="26" t="str">
        <f t="shared" si="1"/>
        <v/>
      </c>
      <c r="K16" s="10"/>
      <c r="L16" s="11" t="str">
        <f t="shared" si="2"/>
        <v/>
      </c>
    </row>
    <row r="17" spans="1:12" ht="18" customHeight="1">
      <c r="A17" s="7" t="str">
        <f t="shared" si="0"/>
        <v/>
      </c>
      <c r="B17" s="20"/>
      <c r="C17" s="21"/>
      <c r="D17" s="62" t="str">
        <f>IF(C17="","",IF(ISNA(VLOOKUP(C17,摘要一览!$B$5:$D$54,2,FALSE)),"未登録",VLOOKUP(C17,摘要一览!$B$5:$D$54,2,FALSE)))</f>
        <v/>
      </c>
      <c r="E17" s="63"/>
      <c r="F17" s="64"/>
      <c r="G17" s="123"/>
      <c r="H17" s="124"/>
      <c r="I17" s="10" t="str">
        <f>IF(OR(C17="",ISNA(VLOOKUP(C17,摘要一览!$B$5:$D$54,3,FALSE))),"",IF(VLOOKUP(C17,摘要一览!$B$5:$D$54,3,FALSE)="","",VLOOKUP(C17,摘要一览!$B$5:$D$54,3,FALSE)))</f>
        <v/>
      </c>
      <c r="J17" s="26" t="str">
        <f t="shared" si="1"/>
        <v/>
      </c>
      <c r="K17" s="10"/>
      <c r="L17" s="11" t="str">
        <f t="shared" si="2"/>
        <v/>
      </c>
    </row>
    <row r="18" spans="1:12" ht="18" customHeight="1">
      <c r="A18" s="7" t="str">
        <f t="shared" si="0"/>
        <v/>
      </c>
      <c r="B18" s="20"/>
      <c r="C18" s="21"/>
      <c r="D18" s="62" t="str">
        <f>IF(C18="","",IF(ISNA(VLOOKUP(C18,摘要一览!$B$5:$D$54,2,FALSE)),"未登録",VLOOKUP(C18,摘要一览!$B$5:$D$54,2,FALSE)))</f>
        <v/>
      </c>
      <c r="E18" s="63"/>
      <c r="F18" s="64"/>
      <c r="G18" s="123"/>
      <c r="H18" s="124"/>
      <c r="I18" s="10" t="str">
        <f>IF(OR(C18="",ISNA(VLOOKUP(C18,摘要一览!$B$5:$D$54,3,FALSE))),"",IF(VLOOKUP(C18,摘要一览!$B$5:$D$54,3,FALSE)="","",VLOOKUP(C18,摘要一览!$B$5:$D$54,3,FALSE)))</f>
        <v/>
      </c>
      <c r="J18" s="26" t="str">
        <f t="shared" si="1"/>
        <v/>
      </c>
      <c r="K18" s="10"/>
      <c r="L18" s="11" t="str">
        <f t="shared" si="2"/>
        <v/>
      </c>
    </row>
    <row r="19" spans="1:12" ht="18" customHeight="1">
      <c r="A19" s="7" t="str">
        <f t="shared" si="0"/>
        <v/>
      </c>
      <c r="B19" s="20"/>
      <c r="C19" s="21"/>
      <c r="D19" s="62" t="str">
        <f>IF(C19="","",IF(ISNA(VLOOKUP(C19,摘要一览!$B$5:$D$54,2,FALSE)),"未登録",VLOOKUP(C19,摘要一览!$B$5:$D$54,2,FALSE)))</f>
        <v/>
      </c>
      <c r="E19" s="63"/>
      <c r="F19" s="64"/>
      <c r="G19" s="123"/>
      <c r="H19" s="124"/>
      <c r="I19" s="10" t="str">
        <f>IF(OR(C19="",ISNA(VLOOKUP(C19,摘要一览!$B$5:$D$54,3,FALSE))),"",IF(VLOOKUP(C19,摘要一览!$B$5:$D$54,3,FALSE)="","",VLOOKUP(C19,摘要一览!$B$5:$D$54,3,FALSE)))</f>
        <v/>
      </c>
      <c r="J19" s="26" t="str">
        <f t="shared" si="1"/>
        <v/>
      </c>
      <c r="K19" s="10"/>
      <c r="L19" s="11" t="str">
        <f t="shared" si="2"/>
        <v/>
      </c>
    </row>
    <row r="20" spans="1:12" ht="18" customHeight="1">
      <c r="A20" s="7" t="str">
        <f t="shared" si="0"/>
        <v/>
      </c>
      <c r="B20" s="20"/>
      <c r="C20" s="21"/>
      <c r="D20" s="62" t="str">
        <f>IF(C20="","",IF(ISNA(VLOOKUP(C20,摘要一览!$B$5:$D$54,2,FALSE)),"未登録",VLOOKUP(C20,摘要一览!$B$5:$D$54,2,FALSE)))</f>
        <v/>
      </c>
      <c r="E20" s="63"/>
      <c r="F20" s="64"/>
      <c r="G20" s="123"/>
      <c r="H20" s="124"/>
      <c r="I20" s="10" t="str">
        <f>IF(OR(C20="",ISNA(VLOOKUP(C20,摘要一览!$B$5:$D$54,3,FALSE))),"",IF(VLOOKUP(C20,摘要一览!$B$5:$D$54,3,FALSE)="","",VLOOKUP(C20,摘要一览!$B$5:$D$54,3,FALSE)))</f>
        <v/>
      </c>
      <c r="J20" s="26" t="str">
        <f t="shared" si="1"/>
        <v/>
      </c>
      <c r="K20" s="10"/>
      <c r="L20" s="11" t="str">
        <f t="shared" si="2"/>
        <v/>
      </c>
    </row>
    <row r="21" spans="1:12" ht="18" customHeight="1">
      <c r="A21" s="7" t="str">
        <f t="shared" si="0"/>
        <v/>
      </c>
      <c r="B21" s="20"/>
      <c r="C21" s="21"/>
      <c r="D21" s="62" t="str">
        <f>IF(C21="","",IF(ISNA(VLOOKUP(C21,摘要一览!$B$5:$D$54,2,FALSE)),"未登録",VLOOKUP(C21,摘要一览!$B$5:$D$54,2,FALSE)))</f>
        <v/>
      </c>
      <c r="E21" s="63"/>
      <c r="F21" s="64"/>
      <c r="G21" s="123"/>
      <c r="H21" s="124"/>
      <c r="I21" s="10" t="str">
        <f>IF(OR(C21="",ISNA(VLOOKUP(C21,摘要一览!$B$5:$D$54,3,FALSE))),"",IF(VLOOKUP(C21,摘要一览!$B$5:$D$54,3,FALSE)="","",VLOOKUP(C21,摘要一览!$B$5:$D$54,3,FALSE)))</f>
        <v/>
      </c>
      <c r="J21" s="26" t="str">
        <f t="shared" si="1"/>
        <v/>
      </c>
      <c r="K21" s="10"/>
      <c r="L21" s="11" t="str">
        <f t="shared" si="2"/>
        <v/>
      </c>
    </row>
    <row r="22" spans="1:12" ht="18" customHeight="1">
      <c r="A22" s="7" t="str">
        <f t="shared" si="0"/>
        <v/>
      </c>
      <c r="B22" s="20"/>
      <c r="C22" s="21"/>
      <c r="D22" s="62" t="str">
        <f>IF(C22="","",IF(ISNA(VLOOKUP(C22,摘要一览!$B$5:$D$54,2,FALSE)),"未登録",VLOOKUP(C22,摘要一览!$B$5:$D$54,2,FALSE)))</f>
        <v/>
      </c>
      <c r="E22" s="63"/>
      <c r="F22" s="64"/>
      <c r="G22" s="123"/>
      <c r="H22" s="124"/>
      <c r="I22" s="10" t="str">
        <f>IF(OR(C22="",ISNA(VLOOKUP(C22,摘要一览!$B$5:$D$54,3,FALSE))),"",IF(VLOOKUP(C22,摘要一览!$B$5:$D$54,3,FALSE)="","",VLOOKUP(C22,摘要一览!$B$5:$D$54,3,FALSE)))</f>
        <v/>
      </c>
      <c r="J22" s="26" t="str">
        <f t="shared" si="1"/>
        <v/>
      </c>
      <c r="K22" s="10"/>
      <c r="L22" s="11" t="str">
        <f t="shared" si="2"/>
        <v/>
      </c>
    </row>
    <row r="23" spans="1:12" ht="18" customHeight="1">
      <c r="A23" s="7" t="str">
        <f t="shared" si="0"/>
        <v/>
      </c>
      <c r="B23" s="20"/>
      <c r="C23" s="21"/>
      <c r="D23" s="62" t="str">
        <f>IF(C23="","",IF(ISNA(VLOOKUP(C23,摘要一览!$B$5:$D$54,2,FALSE)),"未登録",VLOOKUP(C23,摘要一览!$B$5:$D$54,2,FALSE)))</f>
        <v/>
      </c>
      <c r="E23" s="63"/>
      <c r="F23" s="64"/>
      <c r="G23" s="123"/>
      <c r="H23" s="124"/>
      <c r="I23" s="10" t="str">
        <f>IF(OR(C23="",ISNA(VLOOKUP(C23,摘要一览!$B$5:$D$54,3,FALSE))),"",IF(VLOOKUP(C23,摘要一览!$B$5:$D$54,3,FALSE)="","",VLOOKUP(C23,摘要一览!$B$5:$D$54,3,FALSE)))</f>
        <v/>
      </c>
      <c r="J23" s="26" t="str">
        <f t="shared" si="1"/>
        <v/>
      </c>
      <c r="K23" s="10"/>
      <c r="L23" s="11" t="str">
        <f t="shared" si="2"/>
        <v/>
      </c>
    </row>
    <row r="24" spans="1:12" ht="18" customHeight="1">
      <c r="A24" s="7" t="str">
        <f t="shared" si="0"/>
        <v/>
      </c>
      <c r="B24" s="20"/>
      <c r="C24" s="21"/>
      <c r="D24" s="62" t="str">
        <f>IF(C24="","",IF(ISNA(VLOOKUP(C24,摘要一览!$B$5:$D$54,2,FALSE)),"未登録",VLOOKUP(C24,摘要一览!$B$5:$D$54,2,FALSE)))</f>
        <v/>
      </c>
      <c r="E24" s="63"/>
      <c r="F24" s="64"/>
      <c r="G24" s="123"/>
      <c r="H24" s="124"/>
      <c r="I24" s="10" t="str">
        <f>IF(OR(C24="",ISNA(VLOOKUP(C24,摘要一览!$B$5:$D$54,3,FALSE))),"",IF(VLOOKUP(C24,摘要一览!$B$5:$D$54,3,FALSE)="","",VLOOKUP(C24,摘要一览!$B$5:$D$54,3,FALSE)))</f>
        <v/>
      </c>
      <c r="J24" s="26" t="str">
        <f t="shared" si="1"/>
        <v/>
      </c>
      <c r="K24" s="10"/>
      <c r="L24" s="11" t="str">
        <f t="shared" si="2"/>
        <v/>
      </c>
    </row>
    <row r="25" spans="1:12" ht="18" customHeight="1">
      <c r="A25" s="7" t="str">
        <f t="shared" si="0"/>
        <v/>
      </c>
      <c r="B25" s="20"/>
      <c r="C25" s="21"/>
      <c r="D25" s="62" t="str">
        <f>IF(C25="","",IF(ISNA(VLOOKUP(C25,摘要一览!$B$5:$D$54,2,FALSE)),"未登録",VLOOKUP(C25,摘要一览!$B$5:$D$54,2,FALSE)))</f>
        <v/>
      </c>
      <c r="E25" s="63"/>
      <c r="F25" s="64"/>
      <c r="G25" s="123"/>
      <c r="H25" s="124"/>
      <c r="I25" s="10" t="str">
        <f>IF(OR(C25="",ISNA(VLOOKUP(C25,摘要一览!$B$5:$D$54,3,FALSE))),"",IF(VLOOKUP(C25,摘要一览!$B$5:$D$54,3,FALSE)="","",VLOOKUP(C25,摘要一览!$B$5:$D$54,3,FALSE)))</f>
        <v/>
      </c>
      <c r="J25" s="26" t="str">
        <f t="shared" si="1"/>
        <v/>
      </c>
      <c r="K25" s="10"/>
      <c r="L25" s="11" t="str">
        <f t="shared" si="2"/>
        <v/>
      </c>
    </row>
    <row r="26" spans="1:12" ht="18" customHeight="1">
      <c r="A26" s="7" t="str">
        <f t="shared" si="0"/>
        <v/>
      </c>
      <c r="B26" s="20"/>
      <c r="C26" s="21"/>
      <c r="D26" s="62" t="str">
        <f>IF(C26="","",IF(ISNA(VLOOKUP(C26,摘要一览!$B$5:$D$54,2,FALSE)),"未登録",VLOOKUP(C26,摘要一览!$B$5:$D$54,2,FALSE)))</f>
        <v/>
      </c>
      <c r="E26" s="63"/>
      <c r="F26" s="64"/>
      <c r="G26" s="123"/>
      <c r="H26" s="124"/>
      <c r="I26" s="10" t="str">
        <f>IF(OR(C26="",ISNA(VLOOKUP(C26,摘要一览!$B$5:$D$54,3,FALSE))),"",IF(VLOOKUP(C26,摘要一览!$B$5:$D$54,3,FALSE)="","",VLOOKUP(C26,摘要一览!$B$5:$D$54,3,FALSE)))</f>
        <v/>
      </c>
      <c r="J26" s="26" t="str">
        <f t="shared" si="1"/>
        <v/>
      </c>
      <c r="K26" s="10"/>
      <c r="L26" s="11" t="str">
        <f t="shared" si="2"/>
        <v/>
      </c>
    </row>
    <row r="27" spans="1:12" ht="18" customHeight="1">
      <c r="A27" s="7" t="str">
        <f t="shared" si="0"/>
        <v/>
      </c>
      <c r="B27" s="20"/>
      <c r="C27" s="21"/>
      <c r="D27" s="62" t="str">
        <f>IF(C27="","",IF(ISNA(VLOOKUP(C27,摘要一览!$B$5:$D$54,2,FALSE)),"未登録",VLOOKUP(C27,摘要一览!$B$5:$D$54,2,FALSE)))</f>
        <v/>
      </c>
      <c r="E27" s="63"/>
      <c r="F27" s="64"/>
      <c r="G27" s="123"/>
      <c r="H27" s="124"/>
      <c r="I27" s="10" t="str">
        <f>IF(OR(C27="",ISNA(VLOOKUP(C27,摘要一览!$B$5:$D$54,3,FALSE))),"",IF(VLOOKUP(C27,摘要一览!$B$5:$D$54,3,FALSE)="","",VLOOKUP(C27,摘要一览!$B$5:$D$54,3,FALSE)))</f>
        <v/>
      </c>
      <c r="J27" s="26" t="str">
        <f t="shared" si="1"/>
        <v/>
      </c>
      <c r="K27" s="10"/>
      <c r="L27" s="11" t="str">
        <f t="shared" si="2"/>
        <v/>
      </c>
    </row>
    <row r="28" spans="1:12" ht="18" customHeight="1">
      <c r="A28" s="7" t="str">
        <f t="shared" si="0"/>
        <v/>
      </c>
      <c r="B28" s="20"/>
      <c r="C28" s="21"/>
      <c r="D28" s="62" t="str">
        <f>IF(C28="","",IF(ISNA(VLOOKUP(C28,摘要一览!$B$5:$D$54,2,FALSE)),"未登録",VLOOKUP(C28,摘要一览!$B$5:$D$54,2,FALSE)))</f>
        <v/>
      </c>
      <c r="E28" s="63"/>
      <c r="F28" s="64"/>
      <c r="G28" s="123"/>
      <c r="H28" s="124"/>
      <c r="I28" s="10" t="str">
        <f>IF(OR(C28="",ISNA(VLOOKUP(C28,摘要一览!$B$5:$D$54,3,FALSE))),"",IF(VLOOKUP(C28,摘要一览!$B$5:$D$54,3,FALSE)="","",VLOOKUP(C28,摘要一览!$B$5:$D$54,3,FALSE)))</f>
        <v/>
      </c>
      <c r="J28" s="26" t="str">
        <f t="shared" si="1"/>
        <v/>
      </c>
      <c r="K28" s="10"/>
      <c r="L28" s="11" t="str">
        <f t="shared" si="2"/>
        <v/>
      </c>
    </row>
    <row r="29" spans="1:12" ht="18" customHeight="1">
      <c r="A29" s="7" t="str">
        <f t="shared" si="0"/>
        <v/>
      </c>
      <c r="B29" s="20"/>
      <c r="C29" s="21"/>
      <c r="D29" s="62" t="str">
        <f>IF(C29="","",IF(ISNA(VLOOKUP(C29,摘要一览!$B$5:$D$54,2,FALSE)),"未登録",VLOOKUP(C29,摘要一览!$B$5:$D$54,2,FALSE)))</f>
        <v/>
      </c>
      <c r="E29" s="63"/>
      <c r="F29" s="64"/>
      <c r="G29" s="123"/>
      <c r="H29" s="124"/>
      <c r="I29" s="10" t="str">
        <f>IF(OR(C29="",ISNA(VLOOKUP(C29,摘要一览!$B$5:$D$54,3,FALSE))),"",IF(VLOOKUP(C29,摘要一览!$B$5:$D$54,3,FALSE)="","",VLOOKUP(C29,摘要一览!$B$5:$D$54,3,FALSE)))</f>
        <v/>
      </c>
      <c r="J29" s="26" t="str">
        <f t="shared" si="1"/>
        <v/>
      </c>
      <c r="K29" s="10"/>
      <c r="L29" s="11" t="str">
        <f t="shared" si="2"/>
        <v/>
      </c>
    </row>
    <row r="30" spans="1:12" ht="18" customHeight="1">
      <c r="A30" s="7" t="str">
        <f t="shared" si="0"/>
        <v/>
      </c>
      <c r="B30" s="20"/>
      <c r="C30" s="21"/>
      <c r="D30" s="62" t="str">
        <f>IF(C30="","",IF(ISNA(VLOOKUP(C30,摘要一览!$B$5:$D$54,2,FALSE)),"未登録",VLOOKUP(C30,摘要一览!$B$5:$D$54,2,FALSE)))</f>
        <v/>
      </c>
      <c r="E30" s="63"/>
      <c r="F30" s="64"/>
      <c r="G30" s="123"/>
      <c r="H30" s="124"/>
      <c r="I30" s="10" t="str">
        <f>IF(OR(C30="",ISNA(VLOOKUP(C30,摘要一览!$B$5:$D$54,3,FALSE))),"",IF(VLOOKUP(C30,摘要一览!$B$5:$D$54,3,FALSE)="","",VLOOKUP(C30,摘要一览!$B$5:$D$54,3,FALSE)))</f>
        <v/>
      </c>
      <c r="J30" s="26" t="str">
        <f t="shared" si="1"/>
        <v/>
      </c>
      <c r="K30" s="10"/>
      <c r="L30" s="11" t="str">
        <f t="shared" si="2"/>
        <v/>
      </c>
    </row>
    <row r="31" spans="1:12" ht="18" customHeight="1">
      <c r="A31" s="7" t="str">
        <f t="shared" si="0"/>
        <v/>
      </c>
      <c r="B31" s="20"/>
      <c r="C31" s="21"/>
      <c r="D31" s="62" t="str">
        <f>IF(C31="","",IF(ISNA(VLOOKUP(C31,摘要一览!$B$5:$D$54,2,FALSE)),"未登録",VLOOKUP(C31,摘要一览!$B$5:$D$54,2,FALSE)))</f>
        <v/>
      </c>
      <c r="E31" s="63"/>
      <c r="F31" s="64"/>
      <c r="G31" s="123"/>
      <c r="H31" s="124"/>
      <c r="I31" s="10" t="str">
        <f>IF(OR(C31="",ISNA(VLOOKUP(C31,摘要一览!$B$5:$D$54,3,FALSE))),"",IF(VLOOKUP(C31,摘要一览!$B$5:$D$54,3,FALSE)="","",VLOOKUP(C31,摘要一览!$B$5:$D$54,3,FALSE)))</f>
        <v/>
      </c>
      <c r="J31" s="26" t="str">
        <f t="shared" si="1"/>
        <v/>
      </c>
      <c r="K31" s="10"/>
      <c r="L31" s="11" t="str">
        <f t="shared" si="2"/>
        <v/>
      </c>
    </row>
    <row r="32" spans="1:12" ht="18" customHeight="1">
      <c r="A32" s="7" t="str">
        <f t="shared" si="0"/>
        <v/>
      </c>
      <c r="B32" s="20"/>
      <c r="C32" s="21"/>
      <c r="D32" s="62" t="str">
        <f>IF(C32="","",IF(ISNA(VLOOKUP(C32,摘要一览!$B$5:$D$54,2,FALSE)),"未登録",VLOOKUP(C32,摘要一览!$B$5:$D$54,2,FALSE)))</f>
        <v/>
      </c>
      <c r="E32" s="63"/>
      <c r="F32" s="64"/>
      <c r="G32" s="123"/>
      <c r="H32" s="124"/>
      <c r="I32" s="10" t="str">
        <f>IF(OR(C32="",ISNA(VLOOKUP(C32,摘要一览!$B$5:$D$54,3,FALSE))),"",IF(VLOOKUP(C32,摘要一览!$B$5:$D$54,3,FALSE)="","",VLOOKUP(C32,摘要一览!$B$5:$D$54,3,FALSE)))</f>
        <v/>
      </c>
      <c r="J32" s="26" t="str">
        <f t="shared" si="1"/>
        <v/>
      </c>
      <c r="K32" s="10"/>
      <c r="L32" s="11" t="str">
        <f t="shared" si="2"/>
        <v/>
      </c>
    </row>
    <row r="33" spans="1:12" ht="18" customHeight="1">
      <c r="A33" s="7" t="str">
        <f t="shared" si="0"/>
        <v/>
      </c>
      <c r="B33" s="20"/>
      <c r="C33" s="21"/>
      <c r="D33" s="62" t="str">
        <f>IF(C33="","",IF(ISNA(VLOOKUP(C33,摘要一览!$B$5:$D$54,2,FALSE)),"未登録",VLOOKUP(C33,摘要一览!$B$5:$D$54,2,FALSE)))</f>
        <v/>
      </c>
      <c r="E33" s="63"/>
      <c r="F33" s="64"/>
      <c r="G33" s="123"/>
      <c r="H33" s="124"/>
      <c r="I33" s="10" t="str">
        <f>IF(OR(C33="",ISNA(VLOOKUP(C33,摘要一览!$B$5:$D$54,3,FALSE))),"",IF(VLOOKUP(C33,摘要一览!$B$5:$D$54,3,FALSE)="","",VLOOKUP(C33,摘要一览!$B$5:$D$54,3,FALSE)))</f>
        <v/>
      </c>
      <c r="J33" s="26" t="str">
        <f t="shared" si="1"/>
        <v/>
      </c>
      <c r="K33" s="10"/>
      <c r="L33" s="11" t="str">
        <f t="shared" si="2"/>
        <v/>
      </c>
    </row>
    <row r="34" spans="1:12" ht="18" customHeight="1">
      <c r="A34" s="7" t="str">
        <f t="shared" si="0"/>
        <v/>
      </c>
      <c r="B34" s="20"/>
      <c r="C34" s="21"/>
      <c r="D34" s="62" t="str">
        <f>IF(C34="","",IF(ISNA(VLOOKUP(C34,摘要一览!$B$5:$D$54,2,FALSE)),"未登録",VLOOKUP(C34,摘要一览!$B$5:$D$54,2,FALSE)))</f>
        <v/>
      </c>
      <c r="E34" s="63"/>
      <c r="F34" s="64"/>
      <c r="G34" s="123"/>
      <c r="H34" s="124"/>
      <c r="I34" s="10" t="str">
        <f>IF(OR(C34="",ISNA(VLOOKUP(C34,摘要一览!$B$5:$D$54,3,FALSE))),"",IF(VLOOKUP(C34,摘要一览!$B$5:$D$54,3,FALSE)="","",VLOOKUP(C34,摘要一览!$B$5:$D$54,3,FALSE)))</f>
        <v/>
      </c>
      <c r="J34" s="26" t="str">
        <f t="shared" si="1"/>
        <v/>
      </c>
      <c r="K34" s="10"/>
      <c r="L34" s="11" t="str">
        <f t="shared" si="2"/>
        <v/>
      </c>
    </row>
    <row r="35" spans="1:12" ht="18" customHeight="1">
      <c r="A35" s="7" t="str">
        <f t="shared" si="0"/>
        <v/>
      </c>
      <c r="B35" s="20"/>
      <c r="C35" s="21"/>
      <c r="D35" s="62" t="str">
        <f>IF(C35="","",IF(ISNA(VLOOKUP(C35,摘要一览!$B$5:$D$54,2,FALSE)),"未登録",VLOOKUP(C35,摘要一览!$B$5:$D$54,2,FALSE)))</f>
        <v/>
      </c>
      <c r="E35" s="63"/>
      <c r="F35" s="64"/>
      <c r="G35" s="123"/>
      <c r="H35" s="124"/>
      <c r="I35" s="10" t="str">
        <f>IF(OR(C35="",ISNA(VLOOKUP(C35,摘要一览!$B$5:$D$54,3,FALSE))),"",IF(VLOOKUP(C35,摘要一览!$B$5:$D$54,3,FALSE)="","",VLOOKUP(C35,摘要一览!$B$5:$D$54,3,FALSE)))</f>
        <v/>
      </c>
      <c r="J35" s="26" t="str">
        <f t="shared" si="1"/>
        <v/>
      </c>
      <c r="K35" s="10"/>
      <c r="L35" s="11" t="str">
        <f t="shared" si="2"/>
        <v/>
      </c>
    </row>
    <row r="36" spans="1:12" ht="18" customHeight="1">
      <c r="A36" s="7" t="str">
        <f t="shared" si="0"/>
        <v/>
      </c>
      <c r="B36" s="20"/>
      <c r="C36" s="21"/>
      <c r="D36" s="62" t="str">
        <f>IF(C36="","",IF(ISNA(VLOOKUP(C36,摘要一览!$B$5:$D$54,2,FALSE)),"未登録",VLOOKUP(C36,摘要一览!$B$5:$D$54,2,FALSE)))</f>
        <v/>
      </c>
      <c r="E36" s="63"/>
      <c r="F36" s="64"/>
      <c r="G36" s="123"/>
      <c r="H36" s="124"/>
      <c r="I36" s="10" t="str">
        <f>IF(OR(C36="",ISNA(VLOOKUP(C36,摘要一览!$B$5:$D$54,3,FALSE))),"",IF(VLOOKUP(C36,摘要一览!$B$5:$D$54,3,FALSE)="","",VLOOKUP(C36,摘要一览!$B$5:$D$54,3,FALSE)))</f>
        <v/>
      </c>
      <c r="J36" s="26" t="str">
        <f t="shared" si="1"/>
        <v/>
      </c>
      <c r="K36" s="10"/>
      <c r="L36" s="11" t="str">
        <f t="shared" si="2"/>
        <v/>
      </c>
    </row>
    <row r="37" spans="1:12" ht="18" customHeight="1">
      <c r="A37" s="7" t="str">
        <f t="shared" si="0"/>
        <v/>
      </c>
      <c r="B37" s="20"/>
      <c r="C37" s="21"/>
      <c r="D37" s="62" t="str">
        <f>IF(C37="","",IF(ISNA(VLOOKUP(C37,摘要一览!$B$5:$D$54,2,FALSE)),"未登録",VLOOKUP(C37,摘要一览!$B$5:$D$54,2,FALSE)))</f>
        <v/>
      </c>
      <c r="E37" s="63"/>
      <c r="F37" s="64"/>
      <c r="G37" s="123"/>
      <c r="H37" s="124"/>
      <c r="I37" s="10" t="str">
        <f>IF(OR(C37="",ISNA(VLOOKUP(C37,摘要一览!$B$5:$D$54,3,FALSE))),"",IF(VLOOKUP(C37,摘要一览!$B$5:$D$54,3,FALSE)="","",VLOOKUP(C37,摘要一览!$B$5:$D$54,3,FALSE)))</f>
        <v/>
      </c>
      <c r="J37" s="26" t="str">
        <f t="shared" si="1"/>
        <v/>
      </c>
      <c r="K37" s="10"/>
      <c r="L37" s="11" t="str">
        <f t="shared" si="2"/>
        <v/>
      </c>
    </row>
    <row r="38" spans="1:12" ht="18" customHeight="1">
      <c r="A38" s="7" t="str">
        <f t="shared" si="0"/>
        <v/>
      </c>
      <c r="B38" s="20"/>
      <c r="C38" s="21"/>
      <c r="D38" s="62" t="str">
        <f>IF(C38="","",IF(ISNA(VLOOKUP(C38,摘要一览!$B$5:$D$54,2,FALSE)),"未登録",VLOOKUP(C38,摘要一览!$B$5:$D$54,2,FALSE)))</f>
        <v/>
      </c>
      <c r="E38" s="63"/>
      <c r="F38" s="64"/>
      <c r="G38" s="123"/>
      <c r="H38" s="124"/>
      <c r="I38" s="10" t="str">
        <f>IF(OR(C38="",ISNA(VLOOKUP(C38,摘要一览!$B$5:$D$54,3,FALSE))),"",IF(VLOOKUP(C38,摘要一览!$B$5:$D$54,3,FALSE)="","",VLOOKUP(C38,摘要一览!$B$5:$D$54,3,FALSE)))</f>
        <v/>
      </c>
      <c r="J38" s="26" t="str">
        <f t="shared" si="1"/>
        <v/>
      </c>
      <c r="K38" s="10"/>
      <c r="L38" s="11" t="str">
        <f t="shared" si="2"/>
        <v/>
      </c>
    </row>
    <row r="39" spans="1:12" ht="18" customHeight="1">
      <c r="A39" s="7" t="str">
        <f t="shared" si="0"/>
        <v/>
      </c>
      <c r="B39" s="20"/>
      <c r="C39" s="21"/>
      <c r="D39" s="62" t="str">
        <f>IF(C39="","",IF(ISNA(VLOOKUP(C39,摘要一览!$B$5:$D$54,2,FALSE)),"未登録",VLOOKUP(C39,摘要一览!$B$5:$D$54,2,FALSE)))</f>
        <v/>
      </c>
      <c r="E39" s="63"/>
      <c r="F39" s="64"/>
      <c r="G39" s="123"/>
      <c r="H39" s="124"/>
      <c r="I39" s="10" t="str">
        <f>IF(OR(C39="",ISNA(VLOOKUP(C39,摘要一览!$B$5:$D$54,3,FALSE))),"",IF(VLOOKUP(C39,摘要一览!$B$5:$D$54,3,FALSE)="","",VLOOKUP(C39,摘要一览!$B$5:$D$54,3,FALSE)))</f>
        <v/>
      </c>
      <c r="J39" s="26" t="str">
        <f t="shared" si="1"/>
        <v/>
      </c>
      <c r="K39" s="10"/>
      <c r="L39" s="11" t="str">
        <f t="shared" si="2"/>
        <v/>
      </c>
    </row>
    <row r="40" spans="1:12" ht="18" customHeight="1">
      <c r="A40" s="7" t="str">
        <f t="shared" si="0"/>
        <v/>
      </c>
      <c r="B40" s="20"/>
      <c r="C40" s="21"/>
      <c r="D40" s="62" t="str">
        <f>IF(C40="","",IF(ISNA(VLOOKUP(C40,摘要一览!$B$5:$D$54,2,FALSE)),"未登録",VLOOKUP(C40,摘要一览!$B$5:$D$54,2,FALSE)))</f>
        <v/>
      </c>
      <c r="E40" s="63"/>
      <c r="F40" s="64"/>
      <c r="G40" s="123"/>
      <c r="H40" s="124"/>
      <c r="I40" s="10" t="str">
        <f>IF(OR(C40="",ISNA(VLOOKUP(C40,摘要一览!$B$5:$D$54,3,FALSE))),"",IF(VLOOKUP(C40,摘要一览!$B$5:$D$54,3,FALSE)="","",VLOOKUP(C40,摘要一览!$B$5:$D$54,3,FALSE)))</f>
        <v/>
      </c>
      <c r="J40" s="26" t="str">
        <f t="shared" si="1"/>
        <v/>
      </c>
      <c r="K40" s="10"/>
      <c r="L40" s="11" t="str">
        <f t="shared" si="2"/>
        <v/>
      </c>
    </row>
    <row r="41" spans="1:12" ht="18" customHeight="1">
      <c r="A41" s="7" t="str">
        <f t="shared" si="0"/>
        <v/>
      </c>
      <c r="B41" s="20"/>
      <c r="C41" s="21"/>
      <c r="D41" s="62" t="str">
        <f>IF(C41="","",IF(ISNA(VLOOKUP(C41,摘要一览!$B$5:$D$54,2,FALSE)),"未登録",VLOOKUP(C41,摘要一览!$B$5:$D$54,2,FALSE)))</f>
        <v/>
      </c>
      <c r="E41" s="63"/>
      <c r="F41" s="64"/>
      <c r="G41" s="123"/>
      <c r="H41" s="124"/>
      <c r="I41" s="10" t="str">
        <f>IF(OR(C41="",ISNA(VLOOKUP(C41,摘要一览!$B$5:$D$54,3,FALSE))),"",IF(VLOOKUP(C41,摘要一览!$B$5:$D$54,3,FALSE)="","",VLOOKUP(C41,摘要一览!$B$5:$D$54,3,FALSE)))</f>
        <v/>
      </c>
      <c r="J41" s="26" t="str">
        <f t="shared" si="1"/>
        <v/>
      </c>
      <c r="K41" s="10"/>
      <c r="L41" s="11" t="str">
        <f t="shared" si="2"/>
        <v/>
      </c>
    </row>
    <row r="42" spans="1:12" ht="18" customHeight="1" thickBot="1">
      <c r="A42" s="12" t="str">
        <f t="shared" si="0"/>
        <v/>
      </c>
      <c r="B42" s="22"/>
      <c r="C42" s="23"/>
      <c r="D42" s="67" t="str">
        <f>IF(C42="","",IF(ISNA(VLOOKUP(C42,摘要一览!$B$5:$D$54,2,FALSE)),"未登録",VLOOKUP(C42,摘要一览!$B$5:$D$54,2,FALSE)))</f>
        <v/>
      </c>
      <c r="E42" s="68"/>
      <c r="F42" s="69"/>
      <c r="G42" s="125"/>
      <c r="H42" s="126"/>
      <c r="I42" s="15" t="str">
        <f>IF(OR(C42="",ISNA(VLOOKUP(C42,摘要一览!$B$5:$D$54,3,FALSE))),"",IF(VLOOKUP(C42,摘要一览!$B$5:$D$54,3,FALSE)="","",VLOOKUP(C42,摘要一览!$B$5:$D$54,3,FALSE)))</f>
        <v/>
      </c>
      <c r="J42" s="27" t="str">
        <f t="shared" si="1"/>
        <v/>
      </c>
      <c r="K42" s="15"/>
      <c r="L42" s="16" t="str">
        <f t="shared" si="2"/>
        <v/>
      </c>
    </row>
  </sheetData>
  <mergeCells count="85">
    <mergeCell ref="D41:F41"/>
    <mergeCell ref="G41:H41"/>
    <mergeCell ref="D42:F42"/>
    <mergeCell ref="G42:H42"/>
    <mergeCell ref="D38:F38"/>
    <mergeCell ref="G38:H38"/>
    <mergeCell ref="D39:F39"/>
    <mergeCell ref="G39:H39"/>
    <mergeCell ref="D40:F40"/>
    <mergeCell ref="G40:H40"/>
    <mergeCell ref="D35:F35"/>
    <mergeCell ref="G35:H35"/>
    <mergeCell ref="D36:F36"/>
    <mergeCell ref="G36:H36"/>
    <mergeCell ref="D37:F37"/>
    <mergeCell ref="G37:H37"/>
    <mergeCell ref="D32:F32"/>
    <mergeCell ref="G32:H32"/>
    <mergeCell ref="D33:F33"/>
    <mergeCell ref="G33:H33"/>
    <mergeCell ref="D34:F34"/>
    <mergeCell ref="G34:H34"/>
    <mergeCell ref="D29:F29"/>
    <mergeCell ref="G29:H29"/>
    <mergeCell ref="D30:F30"/>
    <mergeCell ref="G30:H30"/>
    <mergeCell ref="D31:F31"/>
    <mergeCell ref="G31:H31"/>
    <mergeCell ref="D26:F26"/>
    <mergeCell ref="G26:H26"/>
    <mergeCell ref="D27:F27"/>
    <mergeCell ref="G27:H27"/>
    <mergeCell ref="D28:F28"/>
    <mergeCell ref="G28:H28"/>
    <mergeCell ref="D23:F23"/>
    <mergeCell ref="G23:H23"/>
    <mergeCell ref="D24:F24"/>
    <mergeCell ref="G24:H24"/>
    <mergeCell ref="D25:F25"/>
    <mergeCell ref="G25:H25"/>
    <mergeCell ref="D20:F20"/>
    <mergeCell ref="G20:H20"/>
    <mergeCell ref="D21:F21"/>
    <mergeCell ref="G21:H21"/>
    <mergeCell ref="D22:F22"/>
    <mergeCell ref="G22:H22"/>
    <mergeCell ref="D17:F17"/>
    <mergeCell ref="G17:H17"/>
    <mergeCell ref="D18:F18"/>
    <mergeCell ref="G18:H18"/>
    <mergeCell ref="D19:F19"/>
    <mergeCell ref="G19:H19"/>
    <mergeCell ref="D14:F14"/>
    <mergeCell ref="G14:H14"/>
    <mergeCell ref="D15:F15"/>
    <mergeCell ref="G15:H15"/>
    <mergeCell ref="D16:F16"/>
    <mergeCell ref="G16:H16"/>
    <mergeCell ref="D11:F11"/>
    <mergeCell ref="G11:H11"/>
    <mergeCell ref="D12:F12"/>
    <mergeCell ref="G12:H12"/>
    <mergeCell ref="D13:F13"/>
    <mergeCell ref="G13:H13"/>
    <mergeCell ref="D8:F8"/>
    <mergeCell ref="G8:H8"/>
    <mergeCell ref="D9:F9"/>
    <mergeCell ref="G9:H9"/>
    <mergeCell ref="D10:F10"/>
    <mergeCell ref="G10:H10"/>
    <mergeCell ref="L4:L5"/>
    <mergeCell ref="D5:F5"/>
    <mergeCell ref="D6:F6"/>
    <mergeCell ref="G6:H6"/>
    <mergeCell ref="J4:J5"/>
    <mergeCell ref="D7:F7"/>
    <mergeCell ref="G7:H7"/>
    <mergeCell ref="B1:C1"/>
    <mergeCell ref="I2:K2"/>
    <mergeCell ref="A4:A5"/>
    <mergeCell ref="B4:B5"/>
    <mergeCell ref="C4:F4"/>
    <mergeCell ref="G4:H5"/>
    <mergeCell ref="I4:I5"/>
    <mergeCell ref="K4:K5"/>
  </mergeCells>
  <phoneticPr fontId="2"/>
  <dataValidations count="2">
    <dataValidation imeMode="off" allowBlank="1" showInputMessage="1" showErrorMessage="1" sqref="A6:C42 B2 D2 B1:C1 F2 G6:L42"/>
    <dataValidation imeMode="on" allowBlank="1" showInputMessage="1" showErrorMessage="1" sqref="G2 I2:K2 E2 D6:F42"/>
  </dataValidations>
  <printOptions horizontalCentered="1"/>
  <pageMargins left="0.78740157480314965" right="0.78740157480314965" top="0.78740157480314965" bottom="0.78740157480314965" header="0.51181102362204722" footer="0.51181102362204722"/>
  <pageSetup paperSize="9" orientation="portrait" cellComments="asDisplayed" horizontalDpi="4294967294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帐目总分类帐（采购分类帐）</vt:lpstr>
      <vt:lpstr>摘要一览</vt:lpstr>
      <vt:lpstr>使用方法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2003-03-28T02:25:49Z</cp:lastPrinted>
  <dcterms:created xsi:type="dcterms:W3CDTF">2003-03-24T01:31:47Z</dcterms:created>
  <dcterms:modified xsi:type="dcterms:W3CDTF">2012-06-27T06:26:24Z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TC012334972052</vt:lpwstr>
  </property>
</Properties>
</file>