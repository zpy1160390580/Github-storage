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filterPrivacy="1" codeName="ThisWorkbook" defaultThemeVersion="124226"/>
  <bookViews>
    <workbookView xWindow="2880" yWindow="1095" windowWidth="9345" windowHeight="6240" firstSheet="3" activeTab="5"/>
  </bookViews>
  <sheets>
    <sheet name="工作底稿" sheetId="1" r:id="rId1"/>
    <sheet name="调整分录" sheetId="2" r:id="rId2"/>
    <sheet name="现金流量表" sheetId="3" r:id="rId3"/>
    <sheet name="趋势预测分析" sheetId="4" r:id="rId4"/>
    <sheet name="Chart1" sheetId="6" r:id="rId5"/>
    <sheet name="现金收支汇总" sheetId="5" r:id="rId6"/>
  </sheets>
  <calcPr calcId="145621"/>
</workbook>
</file>

<file path=xl/calcChain.xml><?xml version="1.0" encoding="utf-8"?>
<calcChain xmlns="http://schemas.openxmlformats.org/spreadsheetml/2006/main">
  <c r="C41" i="1" l="1"/>
  <c r="D41" i="1"/>
  <c r="E41" i="1"/>
  <c r="C8" i="3" s="1"/>
  <c r="D44" i="1"/>
  <c r="E44" i="1"/>
  <c r="D45" i="1"/>
  <c r="E45" i="1"/>
  <c r="C11" i="3" s="1"/>
  <c r="D53" i="1"/>
  <c r="E53" i="1" s="1"/>
  <c r="C38" i="1"/>
  <c r="D38" i="1"/>
  <c r="E38" i="1"/>
  <c r="C5" i="3" s="1"/>
  <c r="C7" i="3" s="1"/>
  <c r="C7" i="4"/>
  <c r="D7" i="4"/>
  <c r="C8" i="4" s="1"/>
  <c r="F3" i="4"/>
  <c r="F4" i="4"/>
  <c r="F5" i="4"/>
  <c r="F6" i="4"/>
  <c r="E3" i="4"/>
  <c r="E4" i="4"/>
  <c r="E5" i="4"/>
  <c r="E6" i="4"/>
  <c r="D62" i="1"/>
  <c r="E62" i="1" s="1"/>
  <c r="C29" i="3" s="1"/>
  <c r="D8" i="1"/>
  <c r="D15" i="1"/>
  <c r="D18" i="1"/>
  <c r="D20" i="1"/>
  <c r="D23" i="1"/>
  <c r="D63" i="1"/>
  <c r="C6" i="1"/>
  <c r="C9" i="1"/>
  <c r="C63" i="1" s="1"/>
  <c r="C24" i="1"/>
  <c r="C27" i="1"/>
  <c r="C28" i="1"/>
  <c r="C29" i="1"/>
  <c r="C35" i="1"/>
  <c r="E46" i="1"/>
  <c r="E47" i="1" s="1"/>
  <c r="E40" i="1"/>
  <c r="E27" i="2"/>
  <c r="D20" i="2"/>
  <c r="C19" i="1" s="1"/>
  <c r="D27" i="2"/>
  <c r="E21" i="1"/>
  <c r="B21" i="1"/>
  <c r="E10" i="1"/>
  <c r="B10" i="1"/>
  <c r="E7" i="4" l="1"/>
  <c r="F7" i="4"/>
  <c r="B6" i="5"/>
  <c r="C19" i="3"/>
  <c r="C20" i="3" s="1"/>
  <c r="E54" i="1"/>
  <c r="C12" i="3"/>
  <c r="E8" i="4" l="1"/>
  <c r="C21" i="3"/>
  <c r="C13" i="3"/>
  <c r="B10" i="5"/>
  <c r="D10" i="4" l="1"/>
  <c r="D11" i="4"/>
</calcChain>
</file>

<file path=xl/sharedStrings.xml><?xml version="1.0" encoding="utf-8"?>
<sst xmlns="http://schemas.openxmlformats.org/spreadsheetml/2006/main" count="160" uniqueCount="148">
  <si>
    <t>现金流量表</t>
    <phoneticPr fontId="1" type="noConversion"/>
  </si>
  <si>
    <t>项目</t>
    <phoneticPr fontId="1" type="noConversion"/>
  </si>
  <si>
    <t>销售商品、提供劳务收到的现金</t>
    <phoneticPr fontId="1" type="noConversion"/>
  </si>
  <si>
    <t>支付给职工以及为职工支付的现金</t>
    <phoneticPr fontId="1" type="noConversion"/>
  </si>
  <si>
    <t>支付的各项税费</t>
    <phoneticPr fontId="1" type="noConversion"/>
  </si>
  <si>
    <t>支付的其他与经营活动有关的现金</t>
    <phoneticPr fontId="1" type="noConversion"/>
  </si>
  <si>
    <t>现金流出小计</t>
    <phoneticPr fontId="1" type="noConversion"/>
  </si>
  <si>
    <t>主营业务收入</t>
    <phoneticPr fontId="1" type="noConversion"/>
  </si>
  <si>
    <t>主营业务成本</t>
    <phoneticPr fontId="1" type="noConversion"/>
  </si>
  <si>
    <t>营业费用</t>
    <phoneticPr fontId="1" type="noConversion"/>
  </si>
  <si>
    <t>管理费用</t>
    <phoneticPr fontId="1" type="noConversion"/>
  </si>
  <si>
    <t>财务费用</t>
    <phoneticPr fontId="1" type="noConversion"/>
  </si>
  <si>
    <t>净利润</t>
    <phoneticPr fontId="1" type="noConversion"/>
  </si>
  <si>
    <t>调整分录</t>
    <phoneticPr fontId="1" type="noConversion"/>
  </si>
  <si>
    <t>序号</t>
    <phoneticPr fontId="1" type="noConversion"/>
  </si>
  <si>
    <t>摘要</t>
    <phoneticPr fontId="1" type="noConversion"/>
  </si>
  <si>
    <t>科目名称</t>
    <phoneticPr fontId="1" type="noConversion"/>
  </si>
  <si>
    <t>借方金额</t>
    <phoneticPr fontId="1" type="noConversion"/>
  </si>
  <si>
    <t>贷方金额</t>
    <phoneticPr fontId="1" type="noConversion"/>
  </si>
  <si>
    <t>调整收入</t>
    <phoneticPr fontId="1" type="noConversion"/>
  </si>
  <si>
    <t>经营活动现金流量－销售商品收到的现金</t>
    <phoneticPr fontId="1" type="noConversion"/>
  </si>
  <si>
    <t>调整成本</t>
    <phoneticPr fontId="1" type="noConversion"/>
  </si>
  <si>
    <t>经营活动现金流量－购买商品支付的现金</t>
    <phoneticPr fontId="1" type="noConversion"/>
  </si>
  <si>
    <t>存货</t>
    <phoneticPr fontId="1" type="noConversion"/>
  </si>
  <si>
    <t xml:space="preserve">调整经营费用 </t>
    <phoneticPr fontId="1" type="noConversion"/>
  </si>
  <si>
    <t>经营活动现金流量－支付的其他与经营活动有关的现金</t>
    <phoneticPr fontId="1" type="noConversion"/>
  </si>
  <si>
    <t>调整管理费用</t>
    <phoneticPr fontId="1" type="noConversion"/>
  </si>
  <si>
    <t>调整财务费用</t>
    <phoneticPr fontId="1" type="noConversion"/>
  </si>
  <si>
    <t>调整固定资产</t>
    <phoneticPr fontId="1" type="noConversion"/>
  </si>
  <si>
    <t>固定资产</t>
    <phoneticPr fontId="1" type="noConversion"/>
  </si>
  <si>
    <t>投资活动现金流量－构建固定资产支付的现金</t>
    <phoneticPr fontId="1" type="noConversion"/>
  </si>
  <si>
    <t>调整应付账款</t>
    <phoneticPr fontId="1" type="noConversion"/>
  </si>
  <si>
    <t>应付账款</t>
    <phoneticPr fontId="1" type="noConversion"/>
  </si>
  <si>
    <t>结转净利润</t>
    <phoneticPr fontId="1" type="noConversion"/>
  </si>
  <si>
    <t>未分配利润</t>
    <phoneticPr fontId="1" type="noConversion"/>
  </si>
  <si>
    <t>提取盈余公积</t>
    <phoneticPr fontId="1" type="noConversion"/>
  </si>
  <si>
    <t>盈余公积</t>
    <phoneticPr fontId="1" type="noConversion"/>
  </si>
  <si>
    <t>调整现金增加额</t>
    <phoneticPr fontId="1" type="noConversion"/>
  </si>
  <si>
    <t>现金</t>
    <phoneticPr fontId="1" type="noConversion"/>
  </si>
  <si>
    <t>现金净增加额</t>
    <phoneticPr fontId="1" type="noConversion"/>
  </si>
  <si>
    <t>收到增值税销项税额</t>
    <phoneticPr fontId="1" type="noConversion"/>
  </si>
  <si>
    <t>现金收入合计</t>
    <phoneticPr fontId="1" type="noConversion"/>
  </si>
  <si>
    <t>购买商品、接受劳务支付现金</t>
    <phoneticPr fontId="1" type="noConversion"/>
  </si>
  <si>
    <t>现金支出合计</t>
    <phoneticPr fontId="1" type="noConversion"/>
  </si>
  <si>
    <t>经营活动产生现金净额</t>
    <phoneticPr fontId="1" type="noConversion"/>
  </si>
  <si>
    <t>收回投资所收到的现金</t>
    <phoneticPr fontId="1" type="noConversion"/>
  </si>
  <si>
    <t>分得股利或利润所收到的现金</t>
    <phoneticPr fontId="1" type="noConversion"/>
  </si>
  <si>
    <t>处置固定资产收回的现金净额</t>
    <phoneticPr fontId="1" type="noConversion"/>
  </si>
  <si>
    <t>现金收入小计</t>
    <phoneticPr fontId="1" type="noConversion"/>
  </si>
  <si>
    <t>构建固定资产所支付的现金</t>
    <phoneticPr fontId="1" type="noConversion"/>
  </si>
  <si>
    <t>投资活动产生的现金流动净额</t>
    <phoneticPr fontId="1" type="noConversion"/>
  </si>
  <si>
    <t>借款所收到的现金</t>
    <phoneticPr fontId="1" type="noConversion"/>
  </si>
  <si>
    <t>偿还债务所支付现金</t>
    <phoneticPr fontId="1" type="noConversion"/>
  </si>
  <si>
    <t>偿还利息所支付的现金</t>
    <phoneticPr fontId="1" type="noConversion"/>
  </si>
  <si>
    <t>现金支出小计</t>
    <phoneticPr fontId="1" type="noConversion"/>
  </si>
  <si>
    <t>筹资活动产生现金净额</t>
    <phoneticPr fontId="1" type="noConversion"/>
  </si>
  <si>
    <t>编制单位：XX公司</t>
    <phoneticPr fontId="1" type="noConversion"/>
  </si>
  <si>
    <t>2005年</t>
    <phoneticPr fontId="1" type="noConversion"/>
  </si>
  <si>
    <t>单位：元</t>
    <phoneticPr fontId="1" type="noConversion"/>
  </si>
  <si>
    <t>行次</t>
    <phoneticPr fontId="1" type="noConversion"/>
  </si>
  <si>
    <t>金额</t>
    <phoneticPr fontId="1" type="noConversion"/>
  </si>
  <si>
    <t>一、经营活动产生现金流量</t>
    <phoneticPr fontId="1" type="noConversion"/>
  </si>
  <si>
    <t>二、投资活动产生的现金</t>
    <phoneticPr fontId="1" type="noConversion"/>
  </si>
  <si>
    <t>三、筹资活动产生的现金流量</t>
    <phoneticPr fontId="1" type="noConversion"/>
  </si>
  <si>
    <t>四、现金及现金等价物增加额</t>
    <phoneticPr fontId="1" type="noConversion"/>
  </si>
  <si>
    <t>现金流量表工作底稿</t>
    <phoneticPr fontId="1" type="noConversion"/>
  </si>
  <si>
    <t>期初数</t>
    <phoneticPr fontId="1" type="noConversion"/>
  </si>
  <si>
    <t>期末数</t>
    <phoneticPr fontId="1" type="noConversion"/>
  </si>
  <si>
    <t>借方</t>
    <phoneticPr fontId="1" type="noConversion"/>
  </si>
  <si>
    <t>贷方</t>
    <phoneticPr fontId="1" type="noConversion"/>
  </si>
  <si>
    <t>资产负债表项目</t>
    <phoneticPr fontId="1" type="noConversion"/>
  </si>
  <si>
    <t>借方项目：</t>
    <phoneticPr fontId="1" type="noConversion"/>
  </si>
  <si>
    <t>货币资金</t>
    <phoneticPr fontId="1" type="noConversion"/>
  </si>
  <si>
    <t>应收账款</t>
    <phoneticPr fontId="1" type="noConversion"/>
  </si>
  <si>
    <t>存货</t>
    <phoneticPr fontId="1" type="noConversion"/>
  </si>
  <si>
    <t>固定资产原值</t>
    <phoneticPr fontId="1" type="noConversion"/>
  </si>
  <si>
    <t>借方项目合计</t>
    <phoneticPr fontId="1" type="noConversion"/>
  </si>
  <si>
    <t>贷方项目：</t>
    <phoneticPr fontId="1" type="noConversion"/>
  </si>
  <si>
    <t>坏账准备</t>
    <phoneticPr fontId="1" type="noConversion"/>
  </si>
  <si>
    <t>累计折旧</t>
    <phoneticPr fontId="1" type="noConversion"/>
  </si>
  <si>
    <t>短期借款</t>
    <phoneticPr fontId="1" type="noConversion"/>
  </si>
  <si>
    <t>应付账款</t>
    <phoneticPr fontId="1" type="noConversion"/>
  </si>
  <si>
    <t>应交税金</t>
    <phoneticPr fontId="1" type="noConversion"/>
  </si>
  <si>
    <t>实收资本</t>
    <phoneticPr fontId="1" type="noConversion"/>
  </si>
  <si>
    <t>盈余公积</t>
    <phoneticPr fontId="1" type="noConversion"/>
  </si>
  <si>
    <t>未分配利润</t>
    <phoneticPr fontId="1" type="noConversion"/>
  </si>
  <si>
    <t>贷方项目合计</t>
    <phoneticPr fontId="1" type="noConversion"/>
  </si>
  <si>
    <t>利润表项目</t>
    <phoneticPr fontId="1" type="noConversion"/>
  </si>
  <si>
    <t>－－－－</t>
    <phoneticPr fontId="1" type="noConversion"/>
  </si>
  <si>
    <t>本期数</t>
    <phoneticPr fontId="1" type="noConversion"/>
  </si>
  <si>
    <t>主营业务收入</t>
    <phoneticPr fontId="1" type="noConversion"/>
  </si>
  <si>
    <t>主营业务成本</t>
    <phoneticPr fontId="1" type="noConversion"/>
  </si>
  <si>
    <t>营业务税金及附加</t>
    <phoneticPr fontId="1" type="noConversion"/>
  </si>
  <si>
    <t>其他业务利润</t>
    <phoneticPr fontId="1" type="noConversion"/>
  </si>
  <si>
    <t>营业费用</t>
    <phoneticPr fontId="1" type="noConversion"/>
  </si>
  <si>
    <t>管理费用</t>
    <phoneticPr fontId="1" type="noConversion"/>
  </si>
  <si>
    <t>财务费用</t>
    <phoneticPr fontId="1" type="noConversion"/>
  </si>
  <si>
    <t>投资收益</t>
    <phoneticPr fontId="1" type="noConversion"/>
  </si>
  <si>
    <t>补贴收入</t>
    <phoneticPr fontId="1" type="noConversion"/>
  </si>
  <si>
    <t>营业外收入</t>
    <phoneticPr fontId="1" type="noConversion"/>
  </si>
  <si>
    <t>营业外支出</t>
    <phoneticPr fontId="1" type="noConversion"/>
  </si>
  <si>
    <t>所得税</t>
    <phoneticPr fontId="1" type="noConversion"/>
  </si>
  <si>
    <t>净利润</t>
    <phoneticPr fontId="1" type="noConversion"/>
  </si>
  <si>
    <t>现金流量表项目</t>
    <phoneticPr fontId="1" type="noConversion"/>
  </si>
  <si>
    <t>（一）经营活动产生现金流量</t>
    <phoneticPr fontId="1" type="noConversion"/>
  </si>
  <si>
    <t>销售商品、提供劳务收到的现金</t>
    <phoneticPr fontId="1" type="noConversion"/>
  </si>
  <si>
    <t>收到增值税销项税额</t>
    <phoneticPr fontId="1" type="noConversion"/>
  </si>
  <si>
    <t>现金收入合计</t>
    <phoneticPr fontId="1" type="noConversion"/>
  </si>
  <si>
    <t>购买商品、接受劳务支付现金</t>
    <phoneticPr fontId="1" type="noConversion"/>
  </si>
  <si>
    <t>支付给职工以及为职工支付的现金</t>
    <phoneticPr fontId="1" type="noConversion"/>
  </si>
  <si>
    <t>支付的各项税费</t>
    <phoneticPr fontId="1" type="noConversion"/>
  </si>
  <si>
    <t>支付的其他与经营活动有关的现金</t>
    <phoneticPr fontId="1" type="noConversion"/>
  </si>
  <si>
    <t>现金支出合计</t>
    <phoneticPr fontId="1" type="noConversion"/>
  </si>
  <si>
    <t>经营活动产生现金净额</t>
    <phoneticPr fontId="1" type="noConversion"/>
  </si>
  <si>
    <t>（二）投资活动产生的现金</t>
    <phoneticPr fontId="1" type="noConversion"/>
  </si>
  <si>
    <t>收回投资所收到的现金</t>
    <phoneticPr fontId="1" type="noConversion"/>
  </si>
  <si>
    <t>分得股利或利润所收到的现金</t>
    <phoneticPr fontId="1" type="noConversion"/>
  </si>
  <si>
    <t>处置固定资产收回的现金净额</t>
    <phoneticPr fontId="1" type="noConversion"/>
  </si>
  <si>
    <t>现金收入小计</t>
    <phoneticPr fontId="1" type="noConversion"/>
  </si>
  <si>
    <t>构建固定资产所支付的现金</t>
    <phoneticPr fontId="1" type="noConversion"/>
  </si>
  <si>
    <t>投资活动产生的现金流动净额</t>
    <phoneticPr fontId="1" type="noConversion"/>
  </si>
  <si>
    <t>（三）筹资活动产生的现金流量</t>
    <phoneticPr fontId="1" type="noConversion"/>
  </si>
  <si>
    <t>借款所收到的现金</t>
    <phoneticPr fontId="1" type="noConversion"/>
  </si>
  <si>
    <t>偿还债务所支付现金</t>
    <phoneticPr fontId="1" type="noConversion"/>
  </si>
  <si>
    <t>偿还利息所支付的现金</t>
    <phoneticPr fontId="1" type="noConversion"/>
  </si>
  <si>
    <t>现金支出小计</t>
    <phoneticPr fontId="1" type="noConversion"/>
  </si>
  <si>
    <t>筹资活动产生现金净额</t>
    <phoneticPr fontId="1" type="noConversion"/>
  </si>
  <si>
    <t>（四）现金及现金等价物增加额</t>
    <phoneticPr fontId="1" type="noConversion"/>
  </si>
  <si>
    <t>调整分录借贷合计</t>
    <phoneticPr fontId="1" type="noConversion"/>
  </si>
  <si>
    <t>合计</t>
    <phoneticPr fontId="1" type="noConversion"/>
  </si>
  <si>
    <t>m</t>
    <phoneticPr fontId="1" type="noConversion"/>
  </si>
  <si>
    <t>n</t>
    <phoneticPr fontId="1" type="noConversion"/>
  </si>
  <si>
    <t>时期</t>
    <phoneticPr fontId="1" type="noConversion"/>
  </si>
  <si>
    <t>X</t>
    <phoneticPr fontId="1" type="noConversion"/>
  </si>
  <si>
    <t>Y</t>
    <phoneticPr fontId="1" type="noConversion"/>
  </si>
  <si>
    <t>XY</t>
    <phoneticPr fontId="1" type="noConversion"/>
  </si>
  <si>
    <t>X^2</t>
    <phoneticPr fontId="1" type="noConversion"/>
  </si>
  <si>
    <t>趋势预测分析表</t>
    <phoneticPr fontId="1" type="noConversion"/>
  </si>
  <si>
    <t>预测年度</t>
    <phoneticPr fontId="1" type="noConversion"/>
  </si>
  <si>
    <t>现金收支汇总表</t>
    <phoneticPr fontId="1" type="noConversion"/>
  </si>
  <si>
    <t>现金收入</t>
    <phoneticPr fontId="1" type="noConversion"/>
  </si>
  <si>
    <t>经营活动现金流入</t>
    <phoneticPr fontId="1" type="noConversion"/>
  </si>
  <si>
    <t>投资活动现金流入</t>
    <phoneticPr fontId="1" type="noConversion"/>
  </si>
  <si>
    <t>筹资活动现金流入</t>
    <phoneticPr fontId="1" type="noConversion"/>
  </si>
  <si>
    <t>现金支出</t>
    <phoneticPr fontId="1" type="noConversion"/>
  </si>
  <si>
    <t>经营活动现金支出</t>
    <phoneticPr fontId="1" type="noConversion"/>
  </si>
  <si>
    <t>投资活动现金支出</t>
    <phoneticPr fontId="1" type="noConversion"/>
  </si>
  <si>
    <t>筹资活动现金支出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</si>
</sst>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0_);[Red]\(0.00\)"/>
  </numFmts>
  <fonts count="14">
    <font>
      <sz val="12"/>
      <name val="宋体"/>
      <charset val="134"/>
    </font>
    <font>
      <sz val="9"/>
      <name val="宋体"/>
      <family val="3"/>
      <charset val="134"/>
    </font>
    <font>
      <b/>
      <sz val="11"/>
      <name val="宋体"/>
      <family val="3"/>
      <charset val="134"/>
    </font>
    <font>
      <sz val="11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b/>
      <sz val="14"/>
      <name val="宋体"/>
      <family val="3"/>
      <charset val="134"/>
    </font>
    <font>
      <b/>
      <sz val="12"/>
      <name val="宋体"/>
      <family val="3"/>
      <charset val="134"/>
    </font>
    <font>
      <b/>
      <sz val="10"/>
      <name val="华文行楷"/>
      <family val="3"/>
      <charset val="134"/>
    </font>
    <font>
      <b/>
      <sz val="9"/>
      <name val="宋体"/>
      <family val="3"/>
      <charset val="134"/>
    </font>
    <font>
      <sz val="9"/>
      <name val="Times New Roman"/>
      <family val="1"/>
    </font>
    <font>
      <b/>
      <sz val="16"/>
      <name val="华文行楷"/>
      <family val="3"/>
      <charset val="134"/>
    </font>
    <font>
      <sz val="20"/>
      <name val="宋体"/>
      <family val="3"/>
      <charset val="134"/>
    </font>
    <font>
      <sz val="2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2" fillId="0" borderId="0" xfId="0" applyFont="1" applyBorder="1" applyAlignment="1">
      <alignment horizontal="center"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176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176" fontId="0" fillId="0" borderId="0" xfId="0" applyNumberFormat="1" applyAlignment="1">
      <alignment horizontal="center"/>
    </xf>
    <xf numFmtId="0" fontId="4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left"/>
    </xf>
    <xf numFmtId="176" fontId="4" fillId="0" borderId="0" xfId="0" applyNumberFormat="1" applyFont="1"/>
    <xf numFmtId="0" fontId="3" fillId="0" borderId="0" xfId="0" applyFont="1"/>
    <xf numFmtId="0" fontId="3" fillId="0" borderId="0" xfId="0" applyFont="1" applyAlignment="1">
      <alignment horizontal="right"/>
    </xf>
    <xf numFmtId="0" fontId="1" fillId="0" borderId="0" xfId="0" applyFont="1"/>
    <xf numFmtId="0" fontId="9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0" fontId="10" fillId="0" borderId="0" xfId="0" applyFont="1" applyBorder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center" vertical="center"/>
    </xf>
    <xf numFmtId="176" fontId="1" fillId="0" borderId="0" xfId="0" applyNumberFormat="1" applyFont="1" applyBorder="1" applyAlignment="1">
      <alignment horizontal="center"/>
    </xf>
    <xf numFmtId="176" fontId="9" fillId="0" borderId="0" xfId="0" applyNumberFormat="1" applyFont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176" fontId="9" fillId="0" borderId="0" xfId="0" applyNumberFormat="1" applyFont="1" applyFill="1" applyBorder="1" applyAlignment="1">
      <alignment horizontal="center"/>
    </xf>
    <xf numFmtId="0" fontId="9" fillId="0" borderId="0" xfId="0" applyFont="1" applyFill="1" applyBorder="1" applyAlignment="1"/>
    <xf numFmtId="0" fontId="9" fillId="0" borderId="0" xfId="0" quotePrefix="1" applyFont="1" applyBorder="1" applyAlignment="1">
      <alignment horizontal="center"/>
    </xf>
    <xf numFmtId="0" fontId="1" fillId="0" borderId="0" xfId="0" applyFont="1" applyBorder="1"/>
    <xf numFmtId="0" fontId="9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177" fontId="1" fillId="0" borderId="0" xfId="0" applyNumberFormat="1" applyFont="1" applyBorder="1" applyAlignment="1">
      <alignment horizontal="center"/>
    </xf>
    <xf numFmtId="176" fontId="1" fillId="0" borderId="0" xfId="0" applyNumberFormat="1" applyFont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left"/>
    </xf>
    <xf numFmtId="0" fontId="1" fillId="0" borderId="0" xfId="0" quotePrefix="1" applyFont="1" applyAlignment="1">
      <alignment horizontal="center"/>
    </xf>
    <xf numFmtId="176" fontId="1" fillId="0" borderId="0" xfId="0" applyNumberFormat="1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176" fontId="0" fillId="0" borderId="5" xfId="0" applyNumberFormat="1" applyBorder="1" applyAlignment="1">
      <alignment horizontal="center"/>
    </xf>
    <xf numFmtId="176" fontId="0" fillId="0" borderId="2" xfId="0" applyNumberFormat="1" applyBorder="1" applyAlignment="1">
      <alignment horizontal="center"/>
    </xf>
    <xf numFmtId="176" fontId="0" fillId="0" borderId="8" xfId="0" applyNumberForma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openxmlformats.org/officeDocument/2006/relationships/chartsheet" Target="chart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现金收支图</a:t>
            </a:r>
          </a:p>
        </c:rich>
      </c:tx>
      <c:layout>
        <c:manualLayout>
          <c:xMode val="edge"/>
          <c:yMode val="edge"/>
          <c:x val="0.42605997931747674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961737331954498"/>
          <c:y val="0.16949152542372881"/>
          <c:w val="0.76318510858324717"/>
          <c:h val="0.7084745762711864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(现金收支汇总!$A$6,现金收支汇总!$A$10)</c:f>
              <c:strCache>
                <c:ptCount val="2"/>
                <c:pt idx="0">
                  <c:v>现金收入</c:v>
                </c:pt>
                <c:pt idx="1">
                  <c:v>现金支出</c:v>
                </c:pt>
              </c:strCache>
            </c:strRef>
          </c:cat>
          <c:val>
            <c:numRef>
              <c:f>(现金收支汇总!$B$6,现金收支汇总!$B$10)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66304"/>
        <c:axId val="216737280"/>
      </c:barChart>
      <c:catAx>
        <c:axId val="21406630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216737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67372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2140663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417786970010337"/>
          <c:y val="0.49152542372881358"/>
          <c:w val="0.11168562564632885"/>
          <c:h val="6.4406779661016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84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20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12705" cy="5621311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3"/>
  <sheetViews>
    <sheetView workbookViewId="0">
      <pane ySplit="3" topLeftCell="A10" activePane="bottomLeft" state="frozen"/>
      <selection pane="bottomLeft" activeCell="I45" sqref="I45"/>
    </sheetView>
  </sheetViews>
  <sheetFormatPr defaultColWidth="8.75" defaultRowHeight="9" customHeight="1"/>
  <cols>
    <col min="1" max="1" width="28.5" style="16" customWidth="1"/>
    <col min="2" max="2" width="11.75" style="16" customWidth="1"/>
    <col min="3" max="3" width="11.375" style="16" customWidth="1"/>
    <col min="4" max="4" width="13.125" style="16" customWidth="1"/>
    <col min="5" max="5" width="14" style="16" customWidth="1"/>
    <col min="6" max="16384" width="8.75" style="16"/>
  </cols>
  <sheetData>
    <row r="1" spans="1:5" ht="13.9" customHeight="1">
      <c r="A1" s="59" t="s">
        <v>65</v>
      </c>
      <c r="B1" s="59"/>
      <c r="C1" s="59"/>
      <c r="D1" s="59"/>
      <c r="E1" s="59"/>
    </row>
    <row r="2" spans="1:5" ht="9" customHeight="1">
      <c r="A2" s="60" t="s">
        <v>1</v>
      </c>
      <c r="B2" s="60" t="s">
        <v>66</v>
      </c>
      <c r="C2" s="60" t="s">
        <v>13</v>
      </c>
      <c r="D2" s="60"/>
      <c r="E2" s="60" t="s">
        <v>67</v>
      </c>
    </row>
    <row r="3" spans="1:5" ht="9" customHeight="1">
      <c r="A3" s="60"/>
      <c r="B3" s="60"/>
      <c r="C3" s="17" t="s">
        <v>68</v>
      </c>
      <c r="D3" s="17" t="s">
        <v>69</v>
      </c>
      <c r="E3" s="60"/>
    </row>
    <row r="4" spans="1:5" ht="9" customHeight="1">
      <c r="A4" s="18" t="s">
        <v>70</v>
      </c>
      <c r="B4" s="19"/>
      <c r="C4" s="19"/>
      <c r="D4" s="19"/>
      <c r="E4" s="20"/>
    </row>
    <row r="5" spans="1:5" ht="9" customHeight="1">
      <c r="A5" s="20" t="s">
        <v>71</v>
      </c>
      <c r="B5" s="19"/>
      <c r="C5" s="19"/>
      <c r="D5" s="19"/>
      <c r="E5" s="20"/>
    </row>
    <row r="6" spans="1:5" ht="9" customHeight="1">
      <c r="A6" s="21" t="s">
        <v>72</v>
      </c>
      <c r="B6" s="22">
        <v>49790</v>
      </c>
      <c r="C6" s="22">
        <f>调整分录!D22</f>
        <v>6480</v>
      </c>
      <c r="D6" s="22"/>
      <c r="E6" s="22">
        <v>56270</v>
      </c>
    </row>
    <row r="7" spans="1:5" ht="9" customHeight="1">
      <c r="A7" s="21" t="s">
        <v>73</v>
      </c>
      <c r="B7" s="22">
        <v>15000</v>
      </c>
      <c r="C7" s="22"/>
      <c r="D7" s="22"/>
      <c r="E7" s="22">
        <v>15000</v>
      </c>
    </row>
    <row r="8" spans="1:5" ht="9" customHeight="1">
      <c r="A8" s="21" t="s">
        <v>74</v>
      </c>
      <c r="B8" s="22">
        <v>5460</v>
      </c>
      <c r="C8" s="22"/>
      <c r="D8" s="22">
        <f>调整分录!E7</f>
        <v>7000</v>
      </c>
      <c r="E8" s="22">
        <v>-1540</v>
      </c>
    </row>
    <row r="9" spans="1:5" ht="9" customHeight="1">
      <c r="A9" s="21" t="s">
        <v>75</v>
      </c>
      <c r="B9" s="22">
        <v>12500</v>
      </c>
      <c r="C9" s="22">
        <f>调整分录!D14</f>
        <v>10000</v>
      </c>
      <c r="D9" s="22"/>
      <c r="E9" s="22">
        <v>22500</v>
      </c>
    </row>
    <row r="10" spans="1:5" ht="9" customHeight="1">
      <c r="A10" s="17" t="s">
        <v>76</v>
      </c>
      <c r="B10" s="23">
        <f>SUM(B6:B9)</f>
        <v>82750</v>
      </c>
      <c r="C10" s="23"/>
      <c r="D10" s="23"/>
      <c r="E10" s="23">
        <f>SUM(E6:E9)</f>
        <v>92230</v>
      </c>
    </row>
    <row r="11" spans="1:5" ht="9" customHeight="1">
      <c r="A11" s="20" t="s">
        <v>77</v>
      </c>
      <c r="B11" s="22"/>
      <c r="C11" s="22"/>
      <c r="D11" s="22"/>
      <c r="E11" s="22"/>
    </row>
    <row r="12" spans="1:5" ht="9" customHeight="1">
      <c r="A12" s="21" t="s">
        <v>78</v>
      </c>
      <c r="B12" s="22">
        <v>2500</v>
      </c>
      <c r="C12" s="22"/>
      <c r="D12" s="22"/>
      <c r="E12" s="22">
        <v>2500</v>
      </c>
    </row>
    <row r="13" spans="1:5" ht="9" customHeight="1">
      <c r="A13" s="21" t="s">
        <v>79</v>
      </c>
      <c r="B13" s="22">
        <v>7500</v>
      </c>
      <c r="C13" s="22"/>
      <c r="D13" s="22"/>
      <c r="E13" s="22">
        <v>7500</v>
      </c>
    </row>
    <row r="14" spans="1:5" ht="9" customHeight="1">
      <c r="A14" s="21" t="s">
        <v>80</v>
      </c>
      <c r="B14" s="22">
        <v>9000</v>
      </c>
      <c r="C14" s="22"/>
      <c r="D14" s="22"/>
      <c r="E14" s="22">
        <v>9000</v>
      </c>
    </row>
    <row r="15" spans="1:5" ht="9" customHeight="1">
      <c r="A15" s="21" t="s">
        <v>81</v>
      </c>
      <c r="B15" s="22">
        <v>8500</v>
      </c>
      <c r="C15" s="22"/>
      <c r="D15" s="22">
        <f>调整分录!E17</f>
        <v>2000</v>
      </c>
      <c r="E15" s="22">
        <v>10500</v>
      </c>
    </row>
    <row r="16" spans="1:5" ht="9" customHeight="1">
      <c r="A16" s="21" t="s">
        <v>82</v>
      </c>
      <c r="B16" s="22">
        <v>5250</v>
      </c>
      <c r="C16" s="22"/>
      <c r="D16" s="22"/>
      <c r="E16" s="22">
        <v>5250</v>
      </c>
    </row>
    <row r="17" spans="1:5" ht="9" customHeight="1">
      <c r="A17" s="21" t="s">
        <v>83</v>
      </c>
      <c r="B17" s="22">
        <v>50000</v>
      </c>
      <c r="C17" s="22"/>
      <c r="D17" s="22"/>
      <c r="E17" s="22">
        <v>50000</v>
      </c>
    </row>
    <row r="18" spans="1:5" ht="9" customHeight="1">
      <c r="A18" s="21" t="s">
        <v>84</v>
      </c>
      <c r="B18" s="22"/>
      <c r="C18" s="22"/>
      <c r="D18" s="22">
        <f>调整分录!E21</f>
        <v>1122</v>
      </c>
      <c r="E18" s="22"/>
    </row>
    <row r="19" spans="1:5" ht="9" customHeight="1">
      <c r="A19" s="21" t="s">
        <v>85</v>
      </c>
      <c r="B19" s="22"/>
      <c r="C19" s="22">
        <f>调整分录!D20</f>
        <v>1122</v>
      </c>
      <c r="D19" s="22"/>
      <c r="E19" s="22"/>
    </row>
    <row r="20" spans="1:5" ht="9" customHeight="1">
      <c r="B20" s="22">
        <v>0</v>
      </c>
      <c r="D20" s="22">
        <f>调整分录!E19</f>
        <v>7480</v>
      </c>
      <c r="E20" s="22">
        <v>7480</v>
      </c>
    </row>
    <row r="21" spans="1:5" ht="9" customHeight="1">
      <c r="A21" s="24" t="s">
        <v>86</v>
      </c>
      <c r="B21" s="25">
        <f>SUM(B12:B20)</f>
        <v>82750</v>
      </c>
      <c r="C21" s="26"/>
      <c r="D21" s="26"/>
      <c r="E21" s="25">
        <f>SUM(E12:E20)</f>
        <v>92230</v>
      </c>
    </row>
    <row r="22" spans="1:5" ht="9" customHeight="1">
      <c r="A22" s="18" t="s">
        <v>87</v>
      </c>
      <c r="B22" s="27" t="s">
        <v>88</v>
      </c>
      <c r="C22" s="28"/>
      <c r="D22" s="29"/>
      <c r="E22" s="29" t="s">
        <v>89</v>
      </c>
    </row>
    <row r="23" spans="1:5" ht="9" customHeight="1">
      <c r="A23" s="30" t="s">
        <v>90</v>
      </c>
      <c r="B23" s="30"/>
      <c r="C23" s="31"/>
      <c r="D23" s="22">
        <f>调整分录!E4</f>
        <v>19200</v>
      </c>
      <c r="E23" s="32">
        <v>19200</v>
      </c>
    </row>
    <row r="24" spans="1:5" ht="9" customHeight="1">
      <c r="A24" s="30" t="s">
        <v>91</v>
      </c>
      <c r="B24" s="30"/>
      <c r="C24" s="33">
        <f>调整分录!D5</f>
        <v>11000</v>
      </c>
      <c r="D24" s="32"/>
      <c r="E24" s="32">
        <v>11000</v>
      </c>
    </row>
    <row r="25" spans="1:5" ht="9" customHeight="1">
      <c r="A25" s="30" t="s">
        <v>92</v>
      </c>
      <c r="B25" s="30"/>
      <c r="C25" s="30"/>
      <c r="D25" s="32"/>
      <c r="E25" s="32">
        <v>0</v>
      </c>
    </row>
    <row r="26" spans="1:5" ht="9" customHeight="1">
      <c r="A26" s="30" t="s">
        <v>93</v>
      </c>
      <c r="B26" s="30"/>
      <c r="C26" s="30"/>
      <c r="D26" s="32"/>
      <c r="E26" s="32"/>
    </row>
    <row r="27" spans="1:5" ht="9" customHeight="1">
      <c r="A27" s="30" t="s">
        <v>94</v>
      </c>
      <c r="B27" s="30"/>
      <c r="C27" s="22">
        <f>调整分录!D8</f>
        <v>500</v>
      </c>
      <c r="D27" s="32"/>
      <c r="E27" s="32">
        <v>500</v>
      </c>
    </row>
    <row r="28" spans="1:5" ht="9" customHeight="1">
      <c r="A28" s="30" t="s">
        <v>95</v>
      </c>
      <c r="B28" s="30"/>
      <c r="C28" s="22">
        <f>调整分录!D10</f>
        <v>200</v>
      </c>
      <c r="D28" s="32"/>
      <c r="E28" s="32">
        <v>200</v>
      </c>
    </row>
    <row r="29" spans="1:5" ht="9" customHeight="1">
      <c r="A29" s="30" t="s">
        <v>96</v>
      </c>
      <c r="B29" s="30"/>
      <c r="C29" s="22">
        <f>调整分录!D12</f>
        <v>20</v>
      </c>
      <c r="D29" s="32"/>
      <c r="E29" s="32">
        <v>20</v>
      </c>
    </row>
    <row r="30" spans="1:5" ht="9" customHeight="1">
      <c r="A30" s="30" t="s">
        <v>97</v>
      </c>
      <c r="B30" s="30"/>
      <c r="C30" s="30"/>
      <c r="D30" s="32"/>
      <c r="E30" s="32"/>
    </row>
    <row r="31" spans="1:5" ht="9" customHeight="1">
      <c r="A31" s="30" t="s">
        <v>98</v>
      </c>
      <c r="B31" s="30"/>
      <c r="C31" s="30"/>
      <c r="D31" s="32"/>
      <c r="E31" s="32"/>
    </row>
    <row r="32" spans="1:5" ht="9" customHeight="1">
      <c r="A32" s="30" t="s">
        <v>99</v>
      </c>
      <c r="B32" s="30"/>
      <c r="C32" s="30"/>
      <c r="D32" s="32"/>
      <c r="E32" s="32"/>
    </row>
    <row r="33" spans="1:5" ht="9" customHeight="1">
      <c r="A33" s="30" t="s">
        <v>100</v>
      </c>
      <c r="B33" s="30"/>
      <c r="C33" s="30"/>
      <c r="D33" s="32"/>
      <c r="E33" s="32"/>
    </row>
    <row r="34" spans="1:5" ht="9" customHeight="1">
      <c r="A34" s="30" t="s">
        <v>101</v>
      </c>
      <c r="B34" s="30"/>
      <c r="C34" s="30"/>
      <c r="D34" s="32"/>
      <c r="E34" s="32"/>
    </row>
    <row r="35" spans="1:5" ht="9" customHeight="1">
      <c r="A35" s="30" t="s">
        <v>102</v>
      </c>
      <c r="B35" s="30"/>
      <c r="C35" s="22">
        <f>调整分录!D18</f>
        <v>7480</v>
      </c>
      <c r="D35" s="32"/>
      <c r="E35" s="32">
        <v>7480</v>
      </c>
    </row>
    <row r="36" spans="1:5" ht="9" customHeight="1">
      <c r="A36" s="18" t="s">
        <v>103</v>
      </c>
    </row>
    <row r="37" spans="1:5" ht="9" customHeight="1">
      <c r="A37" s="34" t="s">
        <v>104</v>
      </c>
      <c r="C37" s="28"/>
      <c r="D37" s="28"/>
    </row>
    <row r="38" spans="1:5" ht="9" customHeight="1">
      <c r="A38" s="35" t="s">
        <v>105</v>
      </c>
      <c r="C38" s="22">
        <f>调整分录!D3</f>
        <v>19200</v>
      </c>
      <c r="D38" s="22">
        <f>调整分录!E13</f>
        <v>20</v>
      </c>
      <c r="E38" s="22">
        <f>C38-D38</f>
        <v>19180</v>
      </c>
    </row>
    <row r="39" spans="1:5" ht="9" customHeight="1">
      <c r="A39" s="35" t="s">
        <v>106</v>
      </c>
      <c r="C39" s="22"/>
      <c r="D39" s="22"/>
      <c r="E39" s="22"/>
    </row>
    <row r="40" spans="1:5" ht="9" customHeight="1">
      <c r="A40" s="36" t="s">
        <v>107</v>
      </c>
      <c r="C40" s="23"/>
      <c r="D40" s="23"/>
      <c r="E40" s="23">
        <f>SUM(E38:E39)</f>
        <v>19180</v>
      </c>
    </row>
    <row r="41" spans="1:5" ht="9" customHeight="1">
      <c r="A41" s="35" t="s">
        <v>108</v>
      </c>
      <c r="C41" s="22">
        <f>调整分录!D16</f>
        <v>2000</v>
      </c>
      <c r="D41" s="22">
        <f>调整分录!E6</f>
        <v>4000</v>
      </c>
      <c r="E41" s="22">
        <f>C41-D41</f>
        <v>-2000</v>
      </c>
    </row>
    <row r="42" spans="1:5" ht="9" customHeight="1">
      <c r="A42" s="35" t="s">
        <v>109</v>
      </c>
      <c r="C42" s="22"/>
      <c r="D42" s="22"/>
      <c r="E42" s="22"/>
    </row>
    <row r="43" spans="1:5" ht="9" customHeight="1">
      <c r="A43" s="35" t="s">
        <v>110</v>
      </c>
      <c r="C43" s="22"/>
      <c r="D43" s="22"/>
      <c r="E43" s="22"/>
    </row>
    <row r="44" spans="1:5" ht="9" customHeight="1">
      <c r="A44" s="35" t="s">
        <v>111</v>
      </c>
      <c r="C44" s="22"/>
      <c r="D44" s="22">
        <f>调整分录!E9</f>
        <v>500</v>
      </c>
      <c r="E44" s="22">
        <f>D44</f>
        <v>500</v>
      </c>
    </row>
    <row r="45" spans="1:5" ht="9" customHeight="1">
      <c r="A45" s="35"/>
      <c r="C45" s="22"/>
      <c r="D45" s="22">
        <f>调整分录!E11</f>
        <v>200</v>
      </c>
      <c r="E45" s="22">
        <f>D45</f>
        <v>200</v>
      </c>
    </row>
    <row r="46" spans="1:5" ht="9" customHeight="1">
      <c r="A46" s="36" t="s">
        <v>112</v>
      </c>
      <c r="C46" s="23"/>
      <c r="D46" s="23"/>
      <c r="E46" s="23">
        <f>SUM(E41:E45)</f>
        <v>-1300</v>
      </c>
    </row>
    <row r="47" spans="1:5" ht="9" customHeight="1">
      <c r="A47" s="36" t="s">
        <v>113</v>
      </c>
      <c r="C47" s="23"/>
      <c r="D47" s="23"/>
      <c r="E47" s="23">
        <f>E40-E46</f>
        <v>20480</v>
      </c>
    </row>
    <row r="48" spans="1:5" ht="9" customHeight="1">
      <c r="A48" s="34" t="s">
        <v>114</v>
      </c>
      <c r="C48" s="22"/>
      <c r="D48" s="22"/>
      <c r="E48" s="22"/>
    </row>
    <row r="49" spans="1:5" ht="9" customHeight="1">
      <c r="A49" s="35" t="s">
        <v>115</v>
      </c>
      <c r="C49" s="22"/>
      <c r="D49" s="22"/>
      <c r="E49" s="22"/>
    </row>
    <row r="50" spans="1:5" ht="9" customHeight="1">
      <c r="A50" s="35" t="s">
        <v>116</v>
      </c>
      <c r="C50" s="22"/>
      <c r="D50" s="22"/>
      <c r="E50" s="22"/>
    </row>
    <row r="51" spans="1:5" ht="9" customHeight="1">
      <c r="A51" s="35" t="s">
        <v>117</v>
      </c>
      <c r="C51" s="22"/>
      <c r="D51" s="22"/>
      <c r="E51" s="22"/>
    </row>
    <row r="52" spans="1:5" ht="9" customHeight="1">
      <c r="A52" s="36" t="s">
        <v>118</v>
      </c>
      <c r="C52" s="23"/>
      <c r="D52" s="23"/>
      <c r="E52" s="23"/>
    </row>
    <row r="53" spans="1:5" ht="9" customHeight="1">
      <c r="A53" s="35" t="s">
        <v>119</v>
      </c>
      <c r="C53" s="22"/>
      <c r="D53" s="22">
        <f>调整分录!E15</f>
        <v>10000</v>
      </c>
      <c r="E53" s="22">
        <f>D53</f>
        <v>10000</v>
      </c>
    </row>
    <row r="54" spans="1:5" ht="9" customHeight="1">
      <c r="A54" s="36" t="s">
        <v>120</v>
      </c>
      <c r="C54" s="23"/>
      <c r="D54" s="23"/>
      <c r="E54" s="23">
        <f>E53-E52</f>
        <v>10000</v>
      </c>
    </row>
    <row r="55" spans="1:5" ht="9" customHeight="1">
      <c r="A55" s="34" t="s">
        <v>121</v>
      </c>
      <c r="C55" s="22"/>
      <c r="D55" s="22"/>
      <c r="E55" s="22"/>
    </row>
    <row r="56" spans="1:5" ht="9" customHeight="1">
      <c r="A56" s="35" t="s">
        <v>122</v>
      </c>
      <c r="C56" s="22"/>
      <c r="D56" s="22"/>
      <c r="E56" s="22"/>
    </row>
    <row r="57" spans="1:5" ht="9" customHeight="1">
      <c r="A57" s="36" t="s">
        <v>118</v>
      </c>
      <c r="C57" s="23"/>
      <c r="D57" s="23"/>
      <c r="E57" s="23"/>
    </row>
    <row r="58" spans="1:5" ht="9" customHeight="1">
      <c r="A58" s="35" t="s">
        <v>123</v>
      </c>
      <c r="C58" s="22"/>
      <c r="D58" s="22"/>
      <c r="E58" s="22"/>
    </row>
    <row r="59" spans="1:5" ht="9" customHeight="1">
      <c r="A59" s="35" t="s">
        <v>124</v>
      </c>
      <c r="C59" s="22"/>
      <c r="D59" s="22"/>
      <c r="E59" s="22"/>
    </row>
    <row r="60" spans="1:5" ht="9" customHeight="1">
      <c r="A60" s="36" t="s">
        <v>125</v>
      </c>
      <c r="C60" s="23"/>
      <c r="D60" s="23"/>
      <c r="E60" s="23"/>
    </row>
    <row r="61" spans="1:5" ht="9" customHeight="1">
      <c r="A61" s="35" t="s">
        <v>126</v>
      </c>
      <c r="C61" s="22"/>
      <c r="D61" s="22"/>
      <c r="E61" s="22"/>
    </row>
    <row r="62" spans="1:5" ht="9" customHeight="1">
      <c r="A62" s="37" t="s">
        <v>127</v>
      </c>
      <c r="C62" s="23"/>
      <c r="D62" s="22">
        <f>调整分录!E23</f>
        <v>6480</v>
      </c>
      <c r="E62" s="23">
        <f>D62</f>
        <v>6480</v>
      </c>
    </row>
    <row r="63" spans="1:5" ht="9" customHeight="1">
      <c r="A63" s="35" t="s">
        <v>128</v>
      </c>
      <c r="B63" s="38" t="s">
        <v>88</v>
      </c>
      <c r="C63" s="39">
        <f>SUM(C6:C62)</f>
        <v>58002</v>
      </c>
      <c r="D63" s="39">
        <f>SUM(D6:D62)</f>
        <v>58002</v>
      </c>
      <c r="E63" s="38" t="s">
        <v>88</v>
      </c>
    </row>
  </sheetData>
  <mergeCells count="5">
    <mergeCell ref="A1:E1"/>
    <mergeCell ref="A2:A3"/>
    <mergeCell ref="B2:B3"/>
    <mergeCell ref="C2:D2"/>
    <mergeCell ref="E2:E3"/>
  </mergeCells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9"/>
  <sheetViews>
    <sheetView topLeftCell="A9" workbookViewId="0">
      <selection activeCell="F13" sqref="F13"/>
    </sheetView>
  </sheetViews>
  <sheetFormatPr defaultRowHeight="14.45" customHeight="1"/>
  <cols>
    <col min="1" max="1" width="6.25" customWidth="1"/>
    <col min="2" max="2" width="12.25" customWidth="1"/>
    <col min="3" max="3" width="43.375" customWidth="1"/>
    <col min="4" max="4" width="11.125" customWidth="1"/>
    <col min="5" max="5" width="11.25" customWidth="1"/>
  </cols>
  <sheetData>
    <row r="1" spans="1:6" ht="24.6" customHeight="1">
      <c r="A1" s="61" t="s">
        <v>13</v>
      </c>
      <c r="B1" s="61"/>
      <c r="C1" s="61"/>
      <c r="D1" s="61"/>
      <c r="E1" s="61"/>
    </row>
    <row r="2" spans="1:6" ht="18" customHeight="1">
      <c r="A2" s="5" t="s">
        <v>14</v>
      </c>
      <c r="B2" s="5" t="s">
        <v>15</v>
      </c>
      <c r="C2" s="5" t="s">
        <v>16</v>
      </c>
      <c r="D2" s="5" t="s">
        <v>17</v>
      </c>
      <c r="E2" s="5" t="s">
        <v>18</v>
      </c>
    </row>
    <row r="3" spans="1:6" ht="14.45" customHeight="1">
      <c r="A3" s="6">
        <v>1</v>
      </c>
      <c r="B3" s="7" t="s">
        <v>19</v>
      </c>
      <c r="C3" s="7" t="s">
        <v>20</v>
      </c>
      <c r="D3" s="4">
        <v>19200</v>
      </c>
      <c r="E3" s="4"/>
      <c r="F3" s="4"/>
    </row>
    <row r="4" spans="1:6" ht="14.45" customHeight="1">
      <c r="A4" s="6"/>
      <c r="B4" s="7"/>
      <c r="C4" s="7" t="s">
        <v>7</v>
      </c>
      <c r="D4" s="4"/>
      <c r="E4" s="4">
        <v>19200</v>
      </c>
      <c r="F4" s="4"/>
    </row>
    <row r="5" spans="1:6" ht="14.45" customHeight="1">
      <c r="A5" s="6">
        <v>2</v>
      </c>
      <c r="B5" s="7" t="s">
        <v>21</v>
      </c>
      <c r="C5" s="7" t="s">
        <v>8</v>
      </c>
      <c r="D5" s="4">
        <v>11000</v>
      </c>
      <c r="E5" s="4"/>
      <c r="F5" s="4"/>
    </row>
    <row r="6" spans="1:6" ht="14.45" customHeight="1">
      <c r="A6" s="6"/>
      <c r="B6" s="7"/>
      <c r="C6" s="7" t="s">
        <v>22</v>
      </c>
      <c r="D6" s="4"/>
      <c r="E6" s="4">
        <v>4000</v>
      </c>
      <c r="F6" s="4"/>
    </row>
    <row r="7" spans="1:6" ht="14.45" customHeight="1">
      <c r="A7" s="6"/>
      <c r="B7" s="7"/>
      <c r="C7" s="7" t="s">
        <v>23</v>
      </c>
      <c r="D7" s="4"/>
      <c r="E7" s="4">
        <v>7000</v>
      </c>
      <c r="F7" s="4"/>
    </row>
    <row r="8" spans="1:6" ht="14.45" customHeight="1">
      <c r="A8" s="6">
        <v>3</v>
      </c>
      <c r="B8" s="7" t="s">
        <v>24</v>
      </c>
      <c r="C8" s="7" t="s">
        <v>9</v>
      </c>
      <c r="D8" s="4">
        <v>500</v>
      </c>
      <c r="E8" s="4"/>
      <c r="F8" s="4"/>
    </row>
    <row r="9" spans="1:6" ht="14.45" customHeight="1">
      <c r="A9" s="6"/>
      <c r="B9" s="7"/>
      <c r="C9" s="7" t="s">
        <v>25</v>
      </c>
      <c r="D9" s="4"/>
      <c r="E9" s="4">
        <v>500</v>
      </c>
      <c r="F9" s="4"/>
    </row>
    <row r="10" spans="1:6" ht="14.45" customHeight="1">
      <c r="A10" s="6">
        <v>4</v>
      </c>
      <c r="B10" s="7" t="s">
        <v>26</v>
      </c>
      <c r="C10" s="7" t="s">
        <v>10</v>
      </c>
      <c r="D10" s="4">
        <v>200</v>
      </c>
      <c r="E10" s="4"/>
      <c r="F10" s="4"/>
    </row>
    <row r="11" spans="1:6" ht="14.45" customHeight="1">
      <c r="A11" s="6"/>
      <c r="B11" s="7"/>
      <c r="C11" s="7" t="s">
        <v>25</v>
      </c>
      <c r="D11" s="4"/>
      <c r="E11" s="4">
        <v>200</v>
      </c>
      <c r="F11" s="4"/>
    </row>
    <row r="12" spans="1:6" ht="14.45" customHeight="1">
      <c r="A12" s="6">
        <v>5</v>
      </c>
      <c r="B12" s="7" t="s">
        <v>27</v>
      </c>
      <c r="C12" s="7" t="s">
        <v>11</v>
      </c>
      <c r="D12" s="4">
        <v>20</v>
      </c>
      <c r="E12" s="4"/>
      <c r="F12" s="4"/>
    </row>
    <row r="13" spans="1:6" ht="14.45" customHeight="1">
      <c r="A13" s="6"/>
      <c r="B13" s="7"/>
      <c r="C13" s="7" t="s">
        <v>20</v>
      </c>
      <c r="D13" s="4"/>
      <c r="E13" s="4">
        <v>20</v>
      </c>
      <c r="F13" s="4"/>
    </row>
    <row r="14" spans="1:6" ht="14.45" customHeight="1">
      <c r="A14" s="6">
        <v>6</v>
      </c>
      <c r="B14" s="2" t="s">
        <v>28</v>
      </c>
      <c r="C14" s="7" t="s">
        <v>29</v>
      </c>
      <c r="D14" s="4">
        <v>10000</v>
      </c>
      <c r="E14" s="4"/>
      <c r="F14" s="4"/>
    </row>
    <row r="15" spans="1:6" ht="14.45" customHeight="1">
      <c r="A15" s="6"/>
      <c r="B15" s="7"/>
      <c r="C15" s="7" t="s">
        <v>30</v>
      </c>
      <c r="D15" s="4"/>
      <c r="E15" s="4">
        <v>10000</v>
      </c>
      <c r="F15" s="4"/>
    </row>
    <row r="16" spans="1:6" ht="14.45" customHeight="1">
      <c r="A16" s="6">
        <v>7</v>
      </c>
      <c r="B16" s="7" t="s">
        <v>31</v>
      </c>
      <c r="C16" s="7" t="s">
        <v>22</v>
      </c>
      <c r="D16" s="4">
        <v>2000</v>
      </c>
      <c r="E16" s="4"/>
      <c r="F16" s="4"/>
    </row>
    <row r="17" spans="1:6" ht="14.45" customHeight="1">
      <c r="A17" s="6"/>
      <c r="B17" s="7"/>
      <c r="C17" s="7" t="s">
        <v>32</v>
      </c>
      <c r="D17" s="4"/>
      <c r="E17" s="4">
        <v>2000</v>
      </c>
      <c r="F17" s="4"/>
    </row>
    <row r="18" spans="1:6" ht="14.45" customHeight="1">
      <c r="A18" s="6">
        <v>8</v>
      </c>
      <c r="B18" s="7" t="s">
        <v>33</v>
      </c>
      <c r="C18" s="7" t="s">
        <v>12</v>
      </c>
      <c r="D18" s="4">
        <v>7480</v>
      </c>
      <c r="E18" s="4"/>
      <c r="F18" s="4"/>
    </row>
    <row r="19" spans="1:6" ht="14.45" customHeight="1">
      <c r="A19" s="6"/>
      <c r="B19" s="7"/>
      <c r="C19" s="7" t="s">
        <v>34</v>
      </c>
      <c r="D19" s="4"/>
      <c r="E19" s="4">
        <v>7480</v>
      </c>
      <c r="F19" s="4"/>
    </row>
    <row r="20" spans="1:6" ht="14.45" customHeight="1">
      <c r="A20" s="6">
        <v>9</v>
      </c>
      <c r="B20" s="7" t="s">
        <v>35</v>
      </c>
      <c r="C20" s="7" t="s">
        <v>34</v>
      </c>
      <c r="D20" s="4">
        <f>E19*0.15</f>
        <v>1122</v>
      </c>
      <c r="E20" s="4"/>
      <c r="F20" s="4"/>
    </row>
    <row r="21" spans="1:6" ht="14.45" customHeight="1">
      <c r="A21" s="6"/>
      <c r="B21" s="7"/>
      <c r="C21" s="7" t="s">
        <v>36</v>
      </c>
      <c r="D21" s="4"/>
      <c r="E21" s="4">
        <v>1122</v>
      </c>
      <c r="F21" s="4"/>
    </row>
    <row r="22" spans="1:6" ht="14.45" customHeight="1">
      <c r="A22" s="6">
        <v>10</v>
      </c>
      <c r="B22" s="7" t="s">
        <v>37</v>
      </c>
      <c r="C22" s="7" t="s">
        <v>38</v>
      </c>
      <c r="D22" s="4">
        <v>6480</v>
      </c>
      <c r="E22" s="4"/>
      <c r="F22" s="4"/>
    </row>
    <row r="23" spans="1:6" ht="14.45" customHeight="1">
      <c r="A23" s="6"/>
      <c r="B23" s="7"/>
      <c r="C23" s="7" t="s">
        <v>39</v>
      </c>
      <c r="D23" s="4"/>
      <c r="E23" s="4">
        <v>6480</v>
      </c>
      <c r="F23" s="4"/>
    </row>
    <row r="24" spans="1:6" ht="14.45" customHeight="1">
      <c r="A24" s="6"/>
      <c r="B24" s="7"/>
      <c r="C24" s="7"/>
      <c r="D24" s="4"/>
      <c r="E24" s="4"/>
      <c r="F24" s="4"/>
    </row>
    <row r="25" spans="1:6" ht="14.45" customHeight="1">
      <c r="A25" s="6"/>
      <c r="B25" s="7"/>
      <c r="C25" s="7"/>
      <c r="D25" s="4"/>
      <c r="E25" s="4"/>
      <c r="F25" s="4"/>
    </row>
    <row r="26" spans="1:6" ht="14.45" customHeight="1">
      <c r="A26" s="6"/>
      <c r="B26" s="7"/>
      <c r="C26" s="7"/>
      <c r="D26" s="4"/>
      <c r="E26" s="4"/>
      <c r="F26" s="4"/>
    </row>
    <row r="27" spans="1:6" ht="14.45" customHeight="1">
      <c r="A27" s="3"/>
      <c r="D27" s="8">
        <f>SUM(D3:D25)</f>
        <v>58002</v>
      </c>
      <c r="E27" s="8">
        <f>SUM(E3:E25)</f>
        <v>58002</v>
      </c>
      <c r="F27" s="8"/>
    </row>
    <row r="28" spans="1:6" ht="14.45" customHeight="1">
      <c r="A28" s="3"/>
      <c r="D28" s="8"/>
      <c r="E28" s="8"/>
      <c r="F28" s="8"/>
    </row>
    <row r="29" spans="1:6" ht="14.45" customHeight="1">
      <c r="A29" s="3"/>
    </row>
  </sheetData>
  <mergeCells count="1">
    <mergeCell ref="A1:E1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0"/>
  <sheetViews>
    <sheetView topLeftCell="A17" workbookViewId="0">
      <selection activeCell="C7" sqref="C7"/>
    </sheetView>
  </sheetViews>
  <sheetFormatPr defaultRowHeight="12" customHeight="1"/>
  <cols>
    <col min="1" max="1" width="30.75" customWidth="1"/>
    <col min="2" max="2" width="8.625" customWidth="1"/>
    <col min="3" max="3" width="17.125" customWidth="1"/>
  </cols>
  <sheetData>
    <row r="1" spans="1:3" ht="16.149999999999999" customHeight="1">
      <c r="A1" s="62" t="s">
        <v>0</v>
      </c>
      <c r="B1" s="62"/>
      <c r="C1" s="62"/>
    </row>
    <row r="2" spans="1:3" ht="12" customHeight="1">
      <c r="A2" s="14" t="s">
        <v>56</v>
      </c>
      <c r="B2" s="14" t="s">
        <v>57</v>
      </c>
      <c r="C2" s="15" t="s">
        <v>58</v>
      </c>
    </row>
    <row r="3" spans="1:3" ht="12" customHeight="1">
      <c r="A3" s="1" t="s">
        <v>1</v>
      </c>
      <c r="B3" s="5" t="s">
        <v>59</v>
      </c>
      <c r="C3" s="5" t="s">
        <v>60</v>
      </c>
    </row>
    <row r="4" spans="1:3" ht="12" customHeight="1">
      <c r="A4" s="9" t="s">
        <v>61</v>
      </c>
    </row>
    <row r="5" spans="1:3" ht="12" customHeight="1">
      <c r="A5" s="10" t="s">
        <v>2</v>
      </c>
      <c r="B5">
        <v>1</v>
      </c>
      <c r="C5" s="13">
        <f>工作底稿!E38</f>
        <v>19180</v>
      </c>
    </row>
    <row r="6" spans="1:3" ht="12" customHeight="1">
      <c r="A6" s="10" t="s">
        <v>40</v>
      </c>
      <c r="B6">
        <v>2</v>
      </c>
      <c r="C6" s="13"/>
    </row>
    <row r="7" spans="1:3" ht="12" customHeight="1">
      <c r="A7" s="11" t="s">
        <v>41</v>
      </c>
      <c r="B7">
        <v>3</v>
      </c>
      <c r="C7" s="13">
        <f>SUM(C5:C6)</f>
        <v>19180</v>
      </c>
    </row>
    <row r="8" spans="1:3" ht="12" customHeight="1">
      <c r="A8" s="10" t="s">
        <v>42</v>
      </c>
      <c r="B8">
        <v>4</v>
      </c>
      <c r="C8" s="13">
        <f>工作底稿!E41</f>
        <v>-2000</v>
      </c>
    </row>
    <row r="9" spans="1:3" ht="12" customHeight="1">
      <c r="A9" s="10" t="s">
        <v>3</v>
      </c>
      <c r="B9">
        <v>5</v>
      </c>
      <c r="C9" s="13"/>
    </row>
    <row r="10" spans="1:3" ht="12" customHeight="1">
      <c r="A10" s="10" t="s">
        <v>4</v>
      </c>
      <c r="B10">
        <v>6</v>
      </c>
      <c r="C10" s="13"/>
    </row>
    <row r="11" spans="1:3" ht="12" customHeight="1">
      <c r="A11" s="10" t="s">
        <v>5</v>
      </c>
      <c r="B11">
        <v>7</v>
      </c>
      <c r="C11" s="13">
        <f>工作底稿!E44+工作底稿!E45</f>
        <v>700</v>
      </c>
    </row>
    <row r="12" spans="1:3" ht="12" customHeight="1">
      <c r="A12" s="11" t="s">
        <v>43</v>
      </c>
      <c r="B12">
        <v>8</v>
      </c>
      <c r="C12" s="13">
        <f>SUM(C8:C11)</f>
        <v>-1300</v>
      </c>
    </row>
    <row r="13" spans="1:3" ht="12" customHeight="1">
      <c r="A13" s="11" t="s">
        <v>44</v>
      </c>
      <c r="B13">
        <v>9</v>
      </c>
      <c r="C13" s="13">
        <f>C7-C12</f>
        <v>20480</v>
      </c>
    </row>
    <row r="14" spans="1:3" ht="12" customHeight="1">
      <c r="A14" s="9" t="s">
        <v>62</v>
      </c>
      <c r="C14" s="13"/>
    </row>
    <row r="15" spans="1:3" ht="12" customHeight="1">
      <c r="A15" s="10" t="s">
        <v>45</v>
      </c>
      <c r="B15">
        <v>10</v>
      </c>
      <c r="C15" s="13"/>
    </row>
    <row r="16" spans="1:3" ht="12" customHeight="1">
      <c r="A16" s="10" t="s">
        <v>46</v>
      </c>
      <c r="B16">
        <v>11</v>
      </c>
      <c r="C16" s="13"/>
    </row>
    <row r="17" spans="1:3" ht="12" customHeight="1">
      <c r="A17" s="10" t="s">
        <v>47</v>
      </c>
      <c r="B17">
        <v>12</v>
      </c>
      <c r="C17" s="13"/>
    </row>
    <row r="18" spans="1:3" ht="12" customHeight="1">
      <c r="A18" s="11" t="s">
        <v>48</v>
      </c>
      <c r="B18">
        <v>13</v>
      </c>
      <c r="C18" s="13"/>
    </row>
    <row r="19" spans="1:3" ht="12" customHeight="1">
      <c r="A19" s="10" t="s">
        <v>49</v>
      </c>
      <c r="B19">
        <v>14</v>
      </c>
      <c r="C19" s="13">
        <f>工作底稿!E53</f>
        <v>10000</v>
      </c>
    </row>
    <row r="20" spans="1:3" ht="12" customHeight="1">
      <c r="A20" s="11" t="s">
        <v>6</v>
      </c>
      <c r="C20" s="13">
        <f>SUM(C19)</f>
        <v>10000</v>
      </c>
    </row>
    <row r="21" spans="1:3" ht="12" customHeight="1">
      <c r="A21" s="11" t="s">
        <v>50</v>
      </c>
      <c r="B21">
        <v>15</v>
      </c>
      <c r="C21" s="13">
        <f>C18-C20</f>
        <v>-10000</v>
      </c>
    </row>
    <row r="22" spans="1:3" ht="12" customHeight="1">
      <c r="A22" s="9" t="s">
        <v>63</v>
      </c>
      <c r="C22" s="13"/>
    </row>
    <row r="23" spans="1:3" ht="12" customHeight="1">
      <c r="A23" s="10" t="s">
        <v>51</v>
      </c>
      <c r="B23">
        <v>16</v>
      </c>
      <c r="C23" s="13"/>
    </row>
    <row r="24" spans="1:3" ht="12" customHeight="1">
      <c r="A24" s="11" t="s">
        <v>48</v>
      </c>
      <c r="B24">
        <v>17</v>
      </c>
      <c r="C24" s="13"/>
    </row>
    <row r="25" spans="1:3" ht="12" customHeight="1">
      <c r="A25" s="10" t="s">
        <v>52</v>
      </c>
      <c r="B25">
        <v>18</v>
      </c>
      <c r="C25" s="13"/>
    </row>
    <row r="26" spans="1:3" ht="12" customHeight="1">
      <c r="A26" s="10" t="s">
        <v>53</v>
      </c>
      <c r="B26">
        <v>19</v>
      </c>
      <c r="C26" s="13"/>
    </row>
    <row r="27" spans="1:3" ht="12" customHeight="1">
      <c r="A27" s="11" t="s">
        <v>54</v>
      </c>
      <c r="B27">
        <v>20</v>
      </c>
      <c r="C27" s="13"/>
    </row>
    <row r="28" spans="1:3" ht="12" customHeight="1">
      <c r="A28" s="10" t="s">
        <v>55</v>
      </c>
      <c r="B28">
        <v>21</v>
      </c>
      <c r="C28" s="13"/>
    </row>
    <row r="29" spans="1:3" ht="12" customHeight="1">
      <c r="A29" s="12" t="s">
        <v>64</v>
      </c>
      <c r="B29">
        <v>22</v>
      </c>
      <c r="C29" s="13">
        <f>工作底稿!E62</f>
        <v>6480</v>
      </c>
    </row>
    <row r="30" spans="1:3" ht="12" customHeight="1">
      <c r="C30" s="7"/>
    </row>
  </sheetData>
  <mergeCells count="1">
    <mergeCell ref="A1:C1"/>
  </mergeCells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2"/>
  <sheetViews>
    <sheetView workbookViewId="0">
      <selection activeCell="C10" sqref="C10:C11"/>
    </sheetView>
  </sheetViews>
  <sheetFormatPr defaultRowHeight="14.25"/>
  <cols>
    <col min="1" max="1" width="2.125" customWidth="1"/>
    <col min="2" max="2" width="12.75" customWidth="1"/>
    <col min="3" max="3" width="11.375" customWidth="1"/>
    <col min="4" max="4" width="11.5" customWidth="1"/>
    <col min="5" max="5" width="12.875" customWidth="1"/>
    <col min="6" max="6" width="13.25" customWidth="1"/>
  </cols>
  <sheetData>
    <row r="1" spans="2:6" ht="21.75" thickBot="1">
      <c r="B1" s="63" t="s">
        <v>137</v>
      </c>
      <c r="C1" s="63"/>
      <c r="D1" s="63"/>
      <c r="E1" s="63"/>
      <c r="F1" s="63"/>
    </row>
    <row r="2" spans="2:6" ht="15" thickTop="1">
      <c r="B2" s="49" t="s">
        <v>132</v>
      </c>
      <c r="C2" s="50" t="s">
        <v>133</v>
      </c>
      <c r="D2" s="50" t="s">
        <v>134</v>
      </c>
      <c r="E2" s="50" t="s">
        <v>135</v>
      </c>
      <c r="F2" s="51" t="s">
        <v>136</v>
      </c>
    </row>
    <row r="3" spans="2:6">
      <c r="B3" s="43"/>
      <c r="C3" s="44"/>
      <c r="D3" s="52"/>
      <c r="E3" s="52">
        <f>C3*D3</f>
        <v>0</v>
      </c>
      <c r="F3" s="45">
        <f>C3^2</f>
        <v>0</v>
      </c>
    </row>
    <row r="4" spans="2:6">
      <c r="B4" s="43"/>
      <c r="C4" s="44"/>
      <c r="D4" s="52"/>
      <c r="E4" s="52">
        <f>C4*D4</f>
        <v>0</v>
      </c>
      <c r="F4" s="45">
        <f>C4^2</f>
        <v>0</v>
      </c>
    </row>
    <row r="5" spans="2:6">
      <c r="B5" s="43"/>
      <c r="C5" s="44"/>
      <c r="D5" s="52"/>
      <c r="E5" s="52">
        <f>C5*D5</f>
        <v>0</v>
      </c>
      <c r="F5" s="45">
        <f>C5^2</f>
        <v>0</v>
      </c>
    </row>
    <row r="6" spans="2:6">
      <c r="B6" s="43"/>
      <c r="C6" s="44"/>
      <c r="D6" s="52"/>
      <c r="E6" s="52">
        <f>C6*D6</f>
        <v>0</v>
      </c>
      <c r="F6" s="45">
        <f>C6^2</f>
        <v>0</v>
      </c>
    </row>
    <row r="7" spans="2:6">
      <c r="B7" s="43" t="s">
        <v>129</v>
      </c>
      <c r="C7" s="44">
        <f>SUM(C3:C6)</f>
        <v>0</v>
      </c>
      <c r="D7" s="52">
        <f>SUM(D3:D6)</f>
        <v>0</v>
      </c>
      <c r="E7" s="52">
        <f>SUM(E3:E6)</f>
        <v>0</v>
      </c>
      <c r="F7" s="45">
        <f>SUM(F3:F6)</f>
        <v>0</v>
      </c>
    </row>
    <row r="8" spans="2:6" ht="15" thickBot="1">
      <c r="B8" s="46" t="s">
        <v>130</v>
      </c>
      <c r="C8" s="47">
        <f>D7/4</f>
        <v>0</v>
      </c>
      <c r="D8" s="47" t="s">
        <v>131</v>
      </c>
      <c r="E8" s="47" t="e">
        <f>E7/F7</f>
        <v>#DIV/0!</v>
      </c>
      <c r="F8" s="48"/>
    </row>
    <row r="9" spans="2:6" ht="22.5" thickTop="1" thickBot="1">
      <c r="B9" s="63" t="s">
        <v>138</v>
      </c>
      <c r="C9" s="63"/>
      <c r="D9" s="63"/>
      <c r="E9" s="63"/>
      <c r="F9" s="63"/>
    </row>
    <row r="10" spans="2:6" ht="15" thickTop="1">
      <c r="B10" s="40"/>
      <c r="C10" s="41"/>
      <c r="D10" s="53" t="e">
        <f>C8+E8*C10</f>
        <v>#DIV/0!</v>
      </c>
      <c r="E10" s="41"/>
      <c r="F10" s="42"/>
    </row>
    <row r="11" spans="2:6" ht="15" thickBot="1">
      <c r="B11" s="46"/>
      <c r="C11" s="47"/>
      <c r="D11" s="54" t="e">
        <f>C8+E8*C11</f>
        <v>#DIV/0!</v>
      </c>
      <c r="E11" s="47"/>
      <c r="F11" s="48"/>
    </row>
    <row r="12" spans="2:6" ht="15" thickTop="1"/>
  </sheetData>
  <mergeCells count="2">
    <mergeCell ref="B1:F1"/>
    <mergeCell ref="B9:F9"/>
  </mergeCells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"/>
  <sheetViews>
    <sheetView tabSelected="1" workbookViewId="0">
      <selection activeCell="B9" sqref="B9"/>
    </sheetView>
  </sheetViews>
  <sheetFormatPr defaultRowHeight="14.25"/>
  <cols>
    <col min="1" max="1" width="26.125" customWidth="1"/>
    <col min="2" max="2" width="19.25" customWidth="1"/>
  </cols>
  <sheetData>
    <row r="1" spans="1:2" ht="26.45" customHeight="1" thickBot="1">
      <c r="A1" s="63" t="s">
        <v>139</v>
      </c>
      <c r="B1" s="63"/>
    </row>
    <row r="2" spans="1:2" ht="15" thickTop="1">
      <c r="A2" s="49" t="s">
        <v>1</v>
      </c>
      <c r="B2" s="51" t="s">
        <v>60</v>
      </c>
    </row>
    <row r="3" spans="1:2">
      <c r="A3" s="55" t="s">
        <v>141</v>
      </c>
      <c r="B3" s="56"/>
    </row>
    <row r="4" spans="1:2">
      <c r="A4" s="55" t="s">
        <v>142</v>
      </c>
      <c r="B4" s="56"/>
    </row>
    <row r="5" spans="1:2">
      <c r="A5" s="55" t="s">
        <v>143</v>
      </c>
      <c r="B5" s="56"/>
    </row>
    <row r="6" spans="1:2">
      <c r="A6" s="55" t="s">
        <v>140</v>
      </c>
      <c r="B6" s="56">
        <f>SUM(B3:B5)</f>
        <v>0</v>
      </c>
    </row>
    <row r="7" spans="1:2">
      <c r="A7" s="55" t="s">
        <v>145</v>
      </c>
      <c r="B7" s="56"/>
    </row>
    <row r="8" spans="1:2">
      <c r="A8" s="55" t="s">
        <v>146</v>
      </c>
      <c r="B8" s="56"/>
    </row>
    <row r="9" spans="1:2">
      <c r="A9" s="55" t="s">
        <v>147</v>
      </c>
      <c r="B9" s="56"/>
    </row>
    <row r="10" spans="1:2" ht="15" thickBot="1">
      <c r="A10" s="57" t="s">
        <v>144</v>
      </c>
      <c r="B10" s="58">
        <f>SUM(B7:B9)</f>
        <v>0</v>
      </c>
    </row>
    <row r="11" spans="1:2" ht="15" thickTop="1"/>
  </sheetData>
  <mergeCells count="1">
    <mergeCell ref="A1:B1"/>
  </mergeCells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图表</vt:lpstr>
      </vt:variant>
      <vt:variant>
        <vt:i4>1</vt:i4>
      </vt:variant>
    </vt:vector>
  </HeadingPairs>
  <TitlesOfParts>
    <vt:vector size="6" baseType="lpstr">
      <vt:lpstr>工作底稿</vt:lpstr>
      <vt:lpstr>调整分录</vt:lpstr>
      <vt:lpstr>现金流量表</vt:lpstr>
      <vt:lpstr>趋势预测分析</vt:lpstr>
      <vt:lpstr>现金收支汇总</vt:lpstr>
      <vt:lpstr>Chart1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2012-06-26T09:59:14Z</dcterms:modified>
</cp:coreProperties>
</file>